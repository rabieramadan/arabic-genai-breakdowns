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ding" sheetId="1" state="visible" r:id="rId3"/>
    <sheet name="run_findings" sheetId="2" state="visible" r:id="rId4"/>
    <sheet name="recode_queue" sheetId="3" state="visible" r:id="rId5"/>
    <sheet name="validation_sample" sheetId="4" state="visible" r:id="rId6"/>
    <sheet name="codebook" sheetId="5" state="visible" r:id="rId7"/>
    <sheet name="reliability" sheetId="6" state="visible" r:id="rId8"/>
    <sheet name="adjudication" sheetId="7" state="visible" r:id="rId9"/>
    <sheet name="theme_counts" sheetId="8" state="visible" r:id="rId10"/>
    <sheet name="suggestion_audit" sheetId="9" state="visible" r:id="rId11"/>
    <sheet name="training_check" sheetId="10" state="visible" r:id="rId12"/>
    <sheet name="themes_matrix" sheetId="11" state="hidden" r:id="rId13"/>
    <sheet name="provenance" sheetId="12" state="visible" r:id="rId14"/>
    <sheet name="multi_model_coding" sheetId="13" state="visible" r:id="rId15"/>
  </sheets>
  <definedNames>
    <definedName function="false" hidden="true" localSheetId="6" name="_xlnm._FilterDatabase" vbProcedure="false">adjudication!$A$4:$L$149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<sst xmlns="http://schemas.openxmlformats.org/spreadsheetml/2006/main" count="3391" uniqueCount="1213">
  <si>
    <t xml:space="preserve">participant_id</t>
  </si>
  <si>
    <t xml:space="preserve">stance_text</t>
  </si>
  <si>
    <t xml:space="preserve">stance_suggested</t>
  </si>
  <si>
    <t xml:space="preserve">coder_1_stance</t>
  </si>
  <si>
    <t xml:space="preserve">coder_2_stance</t>
  </si>
  <si>
    <t xml:space="preserve">stance_agreed</t>
  </si>
  <si>
    <t xml:space="preserve">barrier_text</t>
  </si>
  <si>
    <t xml:space="preserve">barriers_suggested</t>
  </si>
  <si>
    <t xml:space="preserve">coder_1_themes</t>
  </si>
  <si>
    <t xml:space="preserve">coder_2_themes</t>
  </si>
  <si>
    <t xml:space="preserve">barriers_agreed</t>
  </si>
  <si>
    <t xml:space="preserve">note</t>
  </si>
  <si>
    <t xml:space="preserve">llm_stance</t>
  </si>
  <si>
    <t xml:space="preserve">llm_stance_vs_sug</t>
  </si>
  <si>
    <t xml:space="preserve">llm_themes</t>
  </si>
  <si>
    <t xml:space="preserve">llm_themes_vs_sug</t>
  </si>
  <si>
    <t xml:space="preserve">llm_confidence</t>
  </si>
  <si>
    <t xml:space="preserve">llm_note</t>
  </si>
  <si>
    <t xml:space="preserve">P001</t>
  </si>
  <si>
    <t xml:space="preserve">الاعتمادية</t>
  </si>
  <si>
    <t xml:space="preserve">dependency</t>
  </si>
  <si>
    <t xml:space="preserve">عدم دقة الاجابة || تذبذب المعلومات</t>
  </si>
  <si>
    <t xml:space="preserve">T1</t>
  </si>
  <si>
    <t xml:space="preserve">high</t>
  </si>
  <si>
    <t xml:space="preserve">P002</t>
  </si>
  <si>
    <t xml:space="preserve">يؤدي إلى الاعتمادية</t>
  </si>
  <si>
    <t xml:space="preserve">conditional</t>
  </si>
  <si>
    <t xml:space="preserve">innovation</t>
  </si>
  <si>
    <t xml:space="preserve">الدقة || شح المصادر والمراجع</t>
  </si>
  <si>
    <t xml:space="preserve">T1,T4</t>
  </si>
  <si>
    <t xml:space="preserve">P003</t>
  </si>
  <si>
    <t xml:space="preserve">uncodable</t>
  </si>
  <si>
    <t xml:space="preserve">محايد || لا شيء</t>
  </si>
  <si>
    <t xml:space="preserve">T9</t>
  </si>
  <si>
    <t xml:space="preserve">P004</t>
  </si>
  <si>
    <t xml:space="preserve">إذا زاد استخدامه عن حده فيؤدي للاعتمادية</t>
  </si>
  <si>
    <t xml:space="preserve">عدم توفر مصادر موثوقة || عدم الفهم السريع،و قلة الدقة في المعاني</t>
  </si>
  <si>
    <t xml:space="preserve">P005</t>
  </si>
  <si>
    <t xml:space="preserve">يهدم الابتكار والفردية</t>
  </si>
  <si>
    <t xml:space="preserve">لا يمكن الاعتماد عليه في الدراسة، يمكن استخدامه فقط للبحث عن معلومات سطحية، ولا يصلح لشيء أعمق من ذلك || لا يستطيع الذكاء الاصطناعي التعامل مع اللغة العربية الا في ابسط الحالات</t>
  </si>
  <si>
    <t xml:space="preserve">T1,T2</t>
  </si>
  <si>
    <t xml:space="preserve">no suggestion available - please code from the text</t>
  </si>
  <si>
    <r>
      <rPr>
        <sz val="11"/>
        <rFont val="Calibri"/>
        <family val="0"/>
        <charset val="1"/>
      </rPr>
      <t xml:space="preserve">Suggestion blank. '</t>
    </r>
    <r>
      <rPr>
        <sz val="11"/>
        <rFont val="FreeSans"/>
        <family val="2"/>
      </rPr>
      <t xml:space="preserve">يهدم الابتكار والفردية</t>
    </r>
    <r>
      <rPr>
        <sz val="11"/>
        <rFont val="Calibri"/>
        <family val="0"/>
        <charset val="1"/>
      </rPr>
      <t xml:space="preserve">' = destroys innovation and individuality. The keyword </t>
    </r>
    <r>
      <rPr>
        <sz val="11"/>
        <rFont val="FreeSans"/>
        <family val="2"/>
      </rPr>
      <t xml:space="preserve">الابتكار </t>
    </r>
    <r>
      <rPr>
        <sz val="11"/>
        <rFont val="Calibri"/>
        <family val="0"/>
        <charset val="1"/>
      </rPr>
      <t xml:space="preserve">is present but negated by </t>
    </r>
    <r>
      <rPr>
        <sz val="11"/>
        <rFont val="FreeSans"/>
        <family val="2"/>
      </rPr>
      <t xml:space="preserve">يهدم</t>
    </r>
    <r>
      <rPr>
        <sz val="11"/>
        <rFont val="Calibri"/>
        <family val="0"/>
        <charset val="1"/>
      </rPr>
      <t xml:space="preserve">; predicate governs, so dependency.</t>
    </r>
  </si>
  <si>
    <t xml:space="preserve">P006</t>
  </si>
  <si>
    <t xml:space="preserve">يعزز الابتكار الفردي</t>
  </si>
  <si>
    <t xml:space="preserve">صعوبة فهمه للغة || لا يفهم قواعد اللغة العربية كثيرًا</t>
  </si>
  <si>
    <t xml:space="preserve">T2</t>
  </si>
  <si>
    <t xml:space="preserve">P007</t>
  </si>
  <si>
    <t xml:space="preserve">في بعض الأحيان</t>
  </si>
  <si>
    <t xml:space="preserve">المعلومات الخاطئة || تحليله للأبيات بصورة خاطئه او اعطائي أشياء من تأليفه</t>
  </si>
  <si>
    <t xml:space="preserve">T1,T3</t>
  </si>
  <si>
    <t xml:space="preserve">P008</t>
  </si>
  <si>
    <t xml:space="preserve">!</t>
  </si>
  <si>
    <t xml:space="preserve">لا يفهم كثيرا ف اللغة || !</t>
  </si>
  <si>
    <r>
      <rPr>
        <sz val="11"/>
        <rFont val="Calibri"/>
        <family val="0"/>
        <charset val="1"/>
      </rPr>
      <t xml:space="preserve">'</t>
    </r>
    <r>
      <rPr>
        <sz val="11"/>
        <rFont val="FreeSans"/>
        <family val="2"/>
      </rPr>
      <t xml:space="preserve">لا يفهم كثيرا ف اللغة</t>
    </r>
    <r>
      <rPr>
        <sz val="11"/>
        <rFont val="Calibri"/>
        <family val="0"/>
        <charset val="1"/>
      </rPr>
      <t xml:space="preserve">' names language comprehension, not generic inaccuracy. Suggestion T1.</t>
    </r>
  </si>
  <si>
    <t xml:space="preserve">P009</t>
  </si>
  <si>
    <t xml:space="preserve">كلاهما</t>
  </si>
  <si>
    <t xml:space="preserve">التدقيق اللغوي والاملائي || دقة المراجع</t>
  </si>
  <si>
    <t xml:space="preserve">T2,T4</t>
  </si>
  <si>
    <t xml:space="preserve">med</t>
  </si>
  <si>
    <r>
      <rPr>
        <sz val="11"/>
        <rFont val="Calibri"/>
        <family val="0"/>
        <charset val="1"/>
      </rPr>
      <t xml:space="preserve">'</t>
    </r>
    <r>
      <rPr>
        <sz val="11"/>
        <rFont val="FreeSans"/>
        <family val="2"/>
      </rPr>
      <t xml:space="preserve">التدقيق اللغوي والاملائي</t>
    </r>
    <r>
      <rPr>
        <sz val="11"/>
        <rFont val="Calibri"/>
        <family val="0"/>
        <charset val="1"/>
      </rPr>
      <t xml:space="preserve">' - orthography/proofreading is an Arabic linguistic domain (T2), not generic inaccuracy. Depends on whether </t>
    </r>
    <r>
      <rPr>
        <sz val="11"/>
        <rFont val="FreeSans"/>
        <family val="2"/>
      </rPr>
      <t xml:space="preserve">إملاء </t>
    </r>
    <r>
      <rPr>
        <sz val="11"/>
        <rFont val="Calibri"/>
        <family val="0"/>
        <charset val="1"/>
      </rPr>
      <t xml:space="preserve">is admitted to T2 (see rule R-T2b).</t>
    </r>
  </si>
  <si>
    <t xml:space="preserve">P010</t>
  </si>
  <si>
    <t xml:space="preserve">يعزز الابتكار و الفردية</t>
  </si>
  <si>
    <t xml:space="preserve">الدكاترةلا يعجبهم ذلك || الخطأ في تحديد نسبة البيت للشاعر</t>
  </si>
  <si>
    <t xml:space="preserve">T3,T7</t>
  </si>
  <si>
    <t xml:space="preserve">P011</t>
  </si>
  <si>
    <t xml:space="preserve">يعزز الابتكار</t>
  </si>
  <si>
    <t xml:space="preserve">لا يوجد || عدم وجود تطبيقات تدعم اللغه العربية</t>
  </si>
  <si>
    <t xml:space="preserve">T6</t>
  </si>
  <si>
    <t xml:space="preserve">P012</t>
  </si>
  <si>
    <t xml:space="preserve">ممكن الاثنين</t>
  </si>
  <si>
    <t xml:space="preserve">لا يفهم النحو || لا يعرف كما قلت سابقا في قواعد النحو</t>
  </si>
  <si>
    <t xml:space="preserve">P013</t>
  </si>
  <si>
    <t xml:space="preserve">ارى تنه يعزز الابتكار إلى جانب انه يمكن ان يكون داعم لطالب من جوانب مختلفه</t>
  </si>
  <si>
    <t xml:space="preserve">ضعف الدقه العلميه || ..</t>
  </si>
  <si>
    <t xml:space="preserve">P014</t>
  </si>
  <si>
    <t xml:space="preserve">الآثنين معاً</t>
  </si>
  <si>
    <t xml:space="preserve">قلة المعرفه به و المعلومات المغلوطه || التحليل الغير دقيق مثلا</t>
  </si>
  <si>
    <t xml:space="preserve">T1,T5</t>
  </si>
  <si>
    <r>
      <rPr>
        <sz val="11"/>
        <rFont val="Calibri"/>
        <family val="0"/>
        <charset val="1"/>
      </rPr>
      <t xml:space="preserve">'</t>
    </r>
    <r>
      <rPr>
        <sz val="11"/>
        <rFont val="FreeSans"/>
        <family val="2"/>
      </rPr>
      <t xml:space="preserve">قلة المعرفه به</t>
    </r>
    <r>
      <rPr>
        <sz val="11"/>
        <rFont val="Calibri"/>
        <family val="0"/>
        <charset val="1"/>
      </rPr>
      <t xml:space="preserve">' = the student's own limited knowledge of the tool -&gt; T5, missed by suggestion.</t>
    </r>
  </si>
  <si>
    <t xml:space="preserve">P015</t>
  </si>
  <si>
    <t xml:space="preserve">محايد ، بعض الناس يعتمدون عليه بشكل مفرط بينما آخرون يعتمدون عليه كوسيلة للإبداع والابتكار</t>
  </si>
  <si>
    <t xml:space="preserve">عدم استجابة الذكاء الاصطناعي في كل نقطة الإجابات الخاطئة معلومات مغلوطة بدون توثيق || يحلل بشكل خاطئ ، لا يجيد الاعراب ويخطأ كثيرًا فيه</t>
  </si>
  <si>
    <t xml:space="preserve">T1,T2,T4</t>
  </si>
  <si>
    <t xml:space="preserve">P016</t>
  </si>
  <si>
    <t xml:space="preserve">على حسب طريقة استخدامه</t>
  </si>
  <si>
    <t xml:space="preserve">عدم دقة نتائج الذكاء الاصطناعي في الادب العربي || عدم دقة البيانات وعدم صحة التحليلات صعوبة العمل على ملفات كبيرة</t>
  </si>
  <si>
    <t xml:space="preserve">T1,T8</t>
  </si>
  <si>
    <t xml:space="preserve">low</t>
  </si>
  <si>
    <r>
      <rPr>
        <sz val="11"/>
        <rFont val="Calibri"/>
        <family val="0"/>
        <charset val="1"/>
      </rPr>
      <t xml:space="preserve">'</t>
    </r>
    <r>
      <rPr>
        <sz val="11"/>
        <rFont val="FreeSans"/>
        <family val="2"/>
      </rPr>
      <t xml:space="preserve">صعوبة العمل على ملفات كبيرة</t>
    </r>
    <r>
      <rPr>
        <sz val="11"/>
        <rFont val="Calibri"/>
        <family val="0"/>
        <charset val="1"/>
      </rPr>
      <t xml:space="preserve">' = difficulty with large files -&gt; a usage limit (T8) rather than an accuracy problem. Only holds if T8 is widened per rule R-T8.</t>
    </r>
  </si>
  <si>
    <t xml:space="preserve">P017</t>
  </si>
  <si>
    <t xml:space="preserve">يعزز الابتكار والفردية</t>
  </si>
  <si>
    <t xml:space="preserve">تعليق البرنامج المستخدم وتكراره للذي يقول || عدم فهم قواعد اللغة بشكل جيد خاصة لو خدعته بأكثر من قاعدة بسؤال</t>
  </si>
  <si>
    <t xml:space="preserve">T2,T8</t>
  </si>
  <si>
    <r>
      <rPr>
        <sz val="11"/>
        <rFont val="Calibri"/>
        <family val="0"/>
        <charset val="1"/>
      </rPr>
      <t xml:space="preserve">'</t>
    </r>
    <r>
      <rPr>
        <sz val="11"/>
        <rFont val="FreeSans"/>
        <family val="2"/>
      </rPr>
      <t xml:space="preserve">تعليق البرنامج وتكراره</t>
    </r>
    <r>
      <rPr>
        <sz val="11"/>
        <rFont val="Calibri"/>
        <family val="0"/>
        <charset val="1"/>
      </rPr>
      <t xml:space="preserve">' = the app hanging and repeating -&gt; technical availability (T8) under R-T8.</t>
    </r>
  </si>
  <si>
    <t xml:space="preserve">P018</t>
  </si>
  <si>
    <t xml:space="preserve">يعزّز الابتكار إذا استُخدم بوعي، وقد يسبب الاعتمادية إذا أُسيء استخدامه</t>
  </si>
  <si>
    <t xml:space="preserve">عدم دقة بعض النتائج، وصعوبة التحقق من المصادر || أحيانًا يعطي معلومات غير دقيقة أو عامة، مما يسبب التباسًا في الفهم</t>
  </si>
  <si>
    <t xml:space="preserve">P019</t>
  </si>
  <si>
    <t xml:space="preserve">يعتمد على طريقة الاستخدام</t>
  </si>
  <si>
    <t xml:space="preserve">عدم دقة المعلومات اللتي يقدمها و ضعف الفهم للسياق احيانا || لا توجد</t>
  </si>
  <si>
    <t xml:space="preserve">P020</t>
  </si>
  <si>
    <t xml:space="preserve">ارى أنه يعزز الإبتكار</t>
  </si>
  <si>
    <t xml:space="preserve">لا يمكن الاعتماد عليه لأنه يعطي إجابات غير دقيقة || عندما ارغب ان يشرح لي سؤال في النحو يجمع بين قاعدتين لا يستطيع حله بشكل صحيح</t>
  </si>
  <si>
    <t xml:space="preserve">P021</t>
  </si>
  <si>
    <t xml:space="preserve">قد يؤدي إلى الاعتمادية إذا أُسيء استخدامه، لكنه في المقابل يعزز الابتكار إذا استُخدم كأداة مساعدة تدعم الفهم وتوليد الأفكار، لذلك تأثيره يتوقف على طريقة استخدامه.</t>
  </si>
  <si>
    <t xml:space="preserve">عدم دقة بعض المعلومات مما يجعلني بحاجة إلى التحقق منها من مصادر موثوقة كذلك أحيانا قد يقدم الذكاء الاصطناعي إجابات عامة أو غير تفصيلية بالشكل الذي يناسب المستوى الأكاديمي المطلوب. || عدم دقة الإجابات.</t>
  </si>
  <si>
    <t xml:space="preserve">P022</t>
  </si>
  <si>
    <t xml:space="preserve">هذا يعتمد على استخدام الشخص، فمنهم من يتخذه مساعدًا ومرشدًا ولا يصدّق في كلّ شيء يطرحه، بل يتأكد ويبحث. ومنهم من يعتمد عليه اعتمادًا كليًا. وفي الحالة الأولى يعزز الابتكار لما يطرحه من خيوط أفكار دقيقة قد يطورها العقل البشري المتلقي لها، وفي الحالة الثانية تكمن الاعتمادية.</t>
  </si>
  <si>
    <t xml:space="preserve">عدم دقة المصادر التي يعتمد عليها، فهو كثيرًا ما يحيل إلى كتب لغير مؤلفيها، وأحيانًا يأتي بالمعلومة ويوثقها من مرجع لا علاقة له بها أصلًا. كما أنّ لغته لا تعد لغة رصينة، بيْد أنّنا لا نستطيع الحكم عليها بالخطأ. || ينسب الذكاء الاصطناعي أبيات الشعر لغير قائلها، بل ويخترع لشاعر ما أبيات لم يقلها. ليس دقيقا في التفريق بين الصيغ الصرفية. يخطأ كثيرًا في الإعراب</t>
  </si>
  <si>
    <t xml:space="preserve">T1,T2,T3,T4</t>
  </si>
  <si>
    <t xml:space="preserve">P023</t>
  </si>
  <si>
    <t xml:space="preserve">قد يؤدي إلى الاثنين معا حسب استخدام الشخص وخبرته وقدرته على نقد المحتوى وكتابة أوامر قوية وقدرته على التحقق من صدق الإجابة والمراجع التي استشهد بها</t>
  </si>
  <si>
    <t xml:space="preserve">قلة الخبرة والقدرة على نقد المحتوى المقدم من برامج الذكاء الاصطناعي التوليدية || ضعف القدرة على نقد المحتوى المقدم، كذلك دقة الإجابات المقدمة لأن معظمها تتعامل مع اللغة الإنجليزية</t>
  </si>
  <si>
    <t xml:space="preserve">T1,T5,T6</t>
  </si>
  <si>
    <t xml:space="preserve">P024</t>
  </si>
  <si>
    <t xml:space="preserve">قد يؤدي إلى الاعتمادية في حال عدم التدقيق خلفه وعدم التأكد، ولكن قد يعزز روح النقد لديك في حال تتبعت المعلومة وتأكدت من صحتها خلفه.</t>
  </si>
  <si>
    <t xml:space="preserve">دقة المعلومات، وموثوقيتها || بعض المعلومات التي يأتي بها خاطئة، أو لادخل لها بالموضوع الذي أبحث عنه.</t>
  </si>
  <si>
    <t xml:space="preserve">P025</t>
  </si>
  <si>
    <t xml:space="preserve">عدم الدقة في المعلومات-كثرة الأخطاء || معلومة خاطئة</t>
  </si>
  <si>
    <t xml:space="preserve">P026</t>
  </si>
  <si>
    <t xml:space="preserve">على حسب استخدام الفرد. غالبًا يؤدي إلى الاعتمادية خاصة إذا بالغ الشخص في استخدامه، لكن لو استخدمه بصورة مناسبة وبطريقة ذكية يستطيع الاستفادة منه لكسب الخبرات وتحسين الابتكار والإبداع.</t>
  </si>
  <si>
    <t xml:space="preserve">١. غالبًا الذكاء الاصطناعي غير دقيق في اللغة العربية ويقدّم أحيانًا معلومات خاطئة. ٢. رفض الدكاترة قيام الطلبة باستخدام الذكاء الاصطناعي حتى لو على سبيل المساعدة وتقديم أفكار مثلًا. || ١. لا يدعم اللغة العربية في توليد الصور، غالبًا يكتب الحروف والكلمات بصورة غير واضحة أو عشوائية. ٢. لا يمكن الاستفادة منه في النحو بصورة كبيرة.</t>
  </si>
  <si>
    <t xml:space="preserve">T1,T2,T6,T7</t>
  </si>
  <si>
    <t xml:space="preserve">P027</t>
  </si>
  <si>
    <t xml:space="preserve">يؤدي إلى الاعتمادية بشكل أكبر .</t>
  </si>
  <si>
    <t xml:space="preserve">عدم دقة المعلومات والمصادر. || عدم دقة الشرح ومعلومات غير صحيحة .</t>
  </si>
  <si>
    <t xml:space="preserve">P028</t>
  </si>
  <si>
    <t xml:space="preserve">قد يعزز الابتكار والفردية إذا تم استخدامه بطريقة صحيحة ، لأنه يساعد على تطوير الأفكار ولكن الاعتماد الكلي عليه قد يضعف الإبداع الشخصي.</t>
  </si>
  <si>
    <t xml:space="preserve">عدم دقة بعض المعلومات أحيانًا، وصعوبة التأكد من موثوقية المصادر بسبب انه قد يقدم مصادر غير موجودة من الأساس. || التجارب السلبية التي واجهتها أن بعض الإجابات كانت غير دقيقة أو تحتوي على معلومات غير موثوقة، مما اضطرني إلى مراجعة المصادر والتأكد من صحة المعلومات قبل الاعتماد عليها ، ايضاً ان الذكاء الاصطناعي لا يدعم العربية كثيرًا على عكس اللغة الإنجليزية.</t>
  </si>
  <si>
    <t xml:space="preserve">T1,T4,T6</t>
  </si>
  <si>
    <t xml:space="preserve">P029</t>
  </si>
  <si>
    <t xml:space="preserve">قد يعزز الابتكار والفرديه على المدى الطويل</t>
  </si>
  <si>
    <t xml:space="preserve">عدم وجود اداه تجلب معلومات دقيقه عن اللغه العربيه || توليد اعرابات خاطئه وغير منطقيه اصلا</t>
  </si>
  <si>
    <t xml:space="preserve">T1,T2,T6</t>
  </si>
  <si>
    <r>
      <rPr>
        <sz val="11"/>
        <rFont val="Calibri"/>
        <family val="0"/>
        <charset val="1"/>
      </rPr>
      <t xml:space="preserve">Hedged ('</t>
    </r>
    <r>
      <rPr>
        <sz val="11"/>
        <rFont val="FreeSans"/>
        <family val="2"/>
      </rPr>
      <t xml:space="preserve">قد يعزز</t>
    </r>
    <r>
      <rPr>
        <sz val="11"/>
        <rFont val="Calibri"/>
        <family val="0"/>
        <charset val="1"/>
      </rPr>
      <t xml:space="preserve">... </t>
    </r>
    <r>
      <rPr>
        <sz val="11"/>
        <rFont val="FreeSans"/>
        <family val="2"/>
      </rPr>
      <t xml:space="preserve">على المدى الطويل</t>
    </r>
    <r>
      <rPr>
        <sz val="11"/>
        <rFont val="Calibri"/>
        <family val="0"/>
        <charset val="1"/>
      </rPr>
      <t xml:space="preserve">') but no usage condition - innovation, not conditional. | '</t>
    </r>
    <r>
      <rPr>
        <sz val="11"/>
        <rFont val="FreeSans"/>
        <family val="2"/>
      </rPr>
      <t xml:space="preserve">عدم وجود اداه تجلب معلومات دقيقه عن اللغه العربيه</t>
    </r>
    <r>
      <rPr>
        <sz val="11"/>
        <rFont val="Calibri"/>
        <family val="0"/>
        <charset val="1"/>
      </rPr>
      <t xml:space="preserve">' = absence of an Arabic tool -&gt; T6, missed.</t>
    </r>
  </si>
  <si>
    <t xml:space="preserve">P030</t>
  </si>
  <si>
    <t xml:space="preserve">يعزز الإبتكار</t>
  </si>
  <si>
    <t xml:space="preserve">. || .</t>
  </si>
  <si>
    <t xml:space="preserve">Suggestion blank. Both parts are '.' - no barrier stated.</t>
  </si>
  <si>
    <t xml:space="preserve">P031</t>
  </si>
  <si>
    <t xml:space="preserve">أرى أنه يعتمد على الشخص، بالنسبة لي لا أعتمد عليه اعتمادا كليا إنما يساعدني في الابتكار خاصة في العروض التقديمية</t>
  </si>
  <si>
    <t xml:space="preserve">الإجابات غير الدقيقة || عندما أطلب منه أن يلخص لي قصة أو موضوع أحياناً تلخيصه يكون مخل بالمعنى بالإضافة إلى الإجابات غير الدقيقة أحيانا</t>
  </si>
  <si>
    <t xml:space="preserve">P032</t>
  </si>
  <si>
    <t xml:space="preserve">الابتكار</t>
  </si>
  <si>
    <t xml:space="preserve">لا يتعرف على قواعد العربية || لا يتعمق في الاجابة</t>
  </si>
  <si>
    <t xml:space="preserve">P033</t>
  </si>
  <si>
    <t xml:space="preserve">الإثنان معًا، يجب أن يكون الاستخدام واعٍ</t>
  </si>
  <si>
    <t xml:space="preserve">عدم الدقة || لا يجيد كل الجوانب في اللغة، ربما يستطيع الإعراب بشكل جيد.</t>
  </si>
  <si>
    <t xml:space="preserve">P034</t>
  </si>
  <si>
    <t xml:space="preserve">هذا الأمر نسبي و يعتمد على عقلية من يستخدمه</t>
  </si>
  <si>
    <t xml:space="preserve">أنه لا يفقه اللغة العربية بالشكل الذي أتطلع له || طلبت منه مساعدتي في حل واجب منزلي و لم أحصل في هذا الواجب على درجة كاملة مثلما توقعت (اعتمدت على الذكاء الاصطناعي بنسبة ٩٨% تقريبا) و هذا عزز نبوءة دكتور المقرر أن الذكاء الاصطناعي لن يفيدنا في حل ذلك الواجب، و قد كنت أحاول إثبات العكس...</t>
  </si>
  <si>
    <t xml:space="preserve">Mentions the professor's prediction being confirmed, but that is not institutional resistance, so no T7.</t>
  </si>
  <si>
    <t xml:space="preserve">P035</t>
  </si>
  <si>
    <t xml:space="preserve">حسب نوع الاستخدام الفردي اذا كان نسخاً شاملاً فهو يؤدي إلى الاعتمادية وتقليل الابتكار والفردية.</t>
  </si>
  <si>
    <t xml:space="preserve">عدم المقدرة على كتابة أوامر prompts لجعل النتائج دقيقة في الأدب واللغة العربية أكثر دقة || عدم دقة البيانات والمعلومات</t>
  </si>
  <si>
    <t xml:space="preserve">P036</t>
  </si>
  <si>
    <t xml:space="preserve">يعتمد على استخدام الفرد له</t>
  </si>
  <si>
    <t xml:space="preserve">منحي إجابات خاطئة وغير دقيقة ، بعض الإجابات تأتي من مصادر غير. موثوقة ، طول مدة توليد الصور والمقاطع || يمنحني إجابات من وحي خياله لا أساس لها من الصحة و أيضا تأخره في منح الإجابات</t>
  </si>
  <si>
    <t xml:space="preserve">T1,T4,T8</t>
  </si>
  <si>
    <r>
      <rPr>
        <sz val="11"/>
        <rFont val="Calibri"/>
        <family val="0"/>
        <charset val="1"/>
      </rPr>
      <t xml:space="preserve">'</t>
    </r>
    <r>
      <rPr>
        <sz val="11"/>
        <rFont val="FreeSans"/>
        <family val="2"/>
      </rPr>
      <t xml:space="preserve">بعض الإجابات تأتي من مصادر غير موثوقة</t>
    </r>
    <r>
      <rPr>
        <sz val="11"/>
        <rFont val="Calibri"/>
        <family val="0"/>
        <charset val="1"/>
      </rPr>
      <t xml:space="preserve">' -&gt; T4, missed by suggestion.</t>
    </r>
  </si>
  <si>
    <t xml:space="preserve">P037</t>
  </si>
  <si>
    <t xml:space="preserve">الذكاء الاصطناعي يجيب بطريقة خاطئة وعند تحليل الجداول والاحصائيات يحذف بعض النقاط كأن مسح الصورة لم يتم بطريقة صحيحة فتصبح المعلومات ناقصة، وكذلك يكتب بعض الأحيان معلومات زائدة من عنده، لذلك تحتاج اجاباته إلى تأكد شخصي من مدى صحتها. || أثناء المذاكرة لم أفهم نقطة معينة ثم سألته عنها وبدت لي الاجابة غير مُقنعة وشعرت بالإحباط.</t>
  </si>
  <si>
    <t xml:space="preserve">P038</t>
  </si>
  <si>
    <t xml:space="preserve">يعزز</t>
  </si>
  <si>
    <t xml:space="preserve">كيفية صياغة المحتوى || لا يوجد</t>
  </si>
  <si>
    <t xml:space="preserve">T5</t>
  </si>
  <si>
    <r>
      <rPr>
        <sz val="11"/>
        <rFont val="Calibri"/>
        <family val="0"/>
        <charset val="1"/>
      </rPr>
      <t xml:space="preserve">'</t>
    </r>
    <r>
      <rPr>
        <sz val="11"/>
        <rFont val="FreeSans"/>
        <family val="2"/>
      </rPr>
      <t xml:space="preserve">يعزز</t>
    </r>
    <r>
      <rPr>
        <sz val="11"/>
        <rFont val="Calibri"/>
        <family val="0"/>
        <charset val="1"/>
      </rPr>
      <t xml:space="preserve">' with no object. Read as elliptical for </t>
    </r>
    <r>
      <rPr>
        <sz val="11"/>
        <rFont val="FreeSans"/>
        <family val="2"/>
      </rPr>
      <t xml:space="preserve">يعزز الابتكار </t>
    </r>
    <r>
      <rPr>
        <sz val="11"/>
        <rFont val="Calibri"/>
        <family val="0"/>
        <charset val="1"/>
      </rPr>
      <t xml:space="preserve">given the question wording. | '</t>
    </r>
    <r>
      <rPr>
        <sz val="11"/>
        <rFont val="FreeSans"/>
        <family val="2"/>
      </rPr>
      <t xml:space="preserve">كيفية صياغة المحتوى</t>
    </r>
    <r>
      <rPr>
        <sz val="11"/>
        <rFont val="Calibri"/>
        <family val="0"/>
        <charset val="1"/>
      </rPr>
      <t xml:space="preserve">' listed as a challenge the student faces -&gt; phrasing skill (T5). Reads as T9 only if the phrase is about the model's output rather than the student's prompting.</t>
    </r>
  </si>
  <si>
    <t xml:space="preserve">P039</t>
  </si>
  <si>
    <t xml:space="preserve">برأيي يعزز الابتكار والفردية، ولكن هذا يعتمد بشكل كبير على المستخدم. لكن ما يطرحه الذكاء الإصطناعي يحتاج إلى أن يصبح أكثر توافقا مع ما أريد، وفي بعض الأحيان قد لا يكون مبتكرا بالقدر المتوقع، فيتحتم عليَّ تطوير وتغيير ما طرحه.</t>
  </si>
  <si>
    <t xml:space="preserve">عدم فهم المطلوب منه بشكل جيد، والاختصار في المعلومات، وعدم دقة المعلومات، والضعف الكبير في جانب تحليل اللغة العربية من جوانب مختلفة كالإملاء والإعراب. || استخدمت chat gpt في التحقق الإملائي من كلمة لأرى مدى إمكانيتة ودقته في تطبيق القواعد الإملائية بعد أن قدمت له قواعد كتابة الهمزة المتوسطة، فأخطأ أخطاء فادحة بكتابة الكلمات التي قدمتها له.</t>
  </si>
  <si>
    <t xml:space="preserve">P040</t>
  </si>
  <si>
    <t xml:space="preserve">-</t>
  </si>
  <si>
    <t xml:space="preserve">- || -</t>
  </si>
  <si>
    <t xml:space="preserve">Suggestion blank. Both parts are '-'.</t>
  </si>
  <si>
    <t xml:space="preserve">P041</t>
  </si>
  <si>
    <t xml:space="preserve">هو سلاح ذو حدين</t>
  </si>
  <si>
    <t xml:space="preserve">في الواقع لا أعتمد على الذكاء الاصطناعي كونه غير دقيق لذا أتجنبه. || تجربة الطلبة الذين أدرسهم</t>
  </si>
  <si>
    <t xml:space="preserve">P042</t>
  </si>
  <si>
    <t xml:space="preserve">الحصول على إجابات دقيقة || كثيرا ما يؤلف من عنده خاصة الشواهد</t>
  </si>
  <si>
    <t xml:space="preserve">P043</t>
  </si>
  <si>
    <t xml:space="preserve">على حسب المستخدم نفسه هل يعتمد عليه في إنجاز أعماله أم يستخدمه لمراجعة أب٩اثه مثلا و تطوير أفكاره</t>
  </si>
  <si>
    <t xml:space="preserve">لا يجيب بدرجة عالية من الدقة و هو غير مفيد في مواد اللغة العربية عكس المواد التربوية || لا يجيد الاعراب و لا التحليل و هو فاشل في النحو ولكن لا بأس به في الصرف</t>
  </si>
  <si>
    <t xml:space="preserve">P044</t>
  </si>
  <si>
    <t xml:space="preserve">يؤدي إلى الاعتمادية بشكل اكبر.</t>
  </si>
  <si>
    <t xml:space="preserve">عدم دقة المعلومات || عدم دقة المعلومات و التحليل .</t>
  </si>
  <si>
    <t xml:space="preserve">P045</t>
  </si>
  <si>
    <t xml:space="preserve">إذا زاد استخدامه عن حده يصبح اعتمادية</t>
  </si>
  <si>
    <t xml:space="preserve">عدم توفرها مجانيًا بصورة محترفة، قلة الخبرة في التقنيات الحديثة || عدم دقة المعاني</t>
  </si>
  <si>
    <t xml:space="preserve">T1,T5,T8</t>
  </si>
  <si>
    <t xml:space="preserve">P046</t>
  </si>
  <si>
    <t xml:space="preserve">الدقة في التحليل اللغوي العميق: رغم تطور النماذج، إلا أنها قد تخفق أحياناً في ضبط "أواخر الكلم" أو إعراب الجمل المعقدة التي تعتمد على السياق البعيد أو التقدير (كالمحذوفات والتقديم والتأخير)، مما قد يؤدي لنتائج غير دقيقة في التخصصات اللغوية الدقيقة. || من أبرز التجارب السلبية هي "الهلوسة اللغوية في الإعراب"؛ حيث طلبتُ من الذكاء الاصطناعي إعراب بيت شعري يتضمن "تقديمًا وتأخيرًا" معقدًا، فقام بإعراب الكلمات بشكل منفرد وصحيح ظاهريًا، لكنه أخطأ تمامًا في ربط المعنى، فجعل "الفاعل" "مفعولًا به" لمجرد أنه تقدم عليه في الترتيب. هذه التجربة كانت مربكة لأن الإجابة صيغت بثقة تامة، مما قد يضلل الطالب الذي لا يملك خلفية قوية، وأثبتت لي أن الذكاء الاصطناعي أحيانًا يفتقر إلى "الذوق السياقي"</t>
  </si>
  <si>
    <t xml:space="preserve">P047</t>
  </si>
  <si>
    <t xml:space="preserve">يعتمد على استخدام الفرد وتفكيره اتجاه الذكاء الاصطناعي وإنني أرى أن الذكاء الاصطناعي يدعم الفرد للابتكار ويقوم بتنوير بصيرته في حالة استخدامه الصحيح للذكاء الاصطناعي.</t>
  </si>
  <si>
    <t xml:space="preserve">عدم استيعابه لبعض القضايا النحوية والصرفية. || فاشل بشكل كبير في النواحي النحوية والصرفية، ولا أجد له أدنى فائدة في هذين الجانبين.</t>
  </si>
  <si>
    <t xml:space="preserve">P048</t>
  </si>
  <si>
    <t xml:space="preserve">الاعتمادية 💯</t>
  </si>
  <si>
    <t xml:space="preserve">الحصول على الإجابات الدقيقة وخصوصا في الجانب الأدبي || في مقرر أدب عمان بحكم أن القصائد أدباء عمان نادرا ما تجد لها تحليلا؛ فكان حتى الذكاء الاصطناعي لا يعطيني إجابات دقيقة للتحليل.</t>
  </si>
  <si>
    <t xml:space="preserve">P049</t>
  </si>
  <si>
    <t xml:space="preserve">عدم وجود مصادر موثوقة للمعلومة+ ضعف اللغة العربية بالنسبة للذكاء الاصطناعي || عدم معرفته بقواعد النحو بنسبة ١٠٠٪؜</t>
  </si>
  <si>
    <t xml:space="preserve">P050</t>
  </si>
  <si>
    <t xml:space="preserve">الاثنين معّا ويعتمد ذلك على استخدام الطالب نفسه</t>
  </si>
  <si>
    <t xml:space="preserve">لا يعطيني معلومات دقيقة || في النحو ، دائمّا ما يخطئ في فهم القواعد وشرحها</t>
  </si>
  <si>
    <t xml:space="preserve">P051</t>
  </si>
  <si>
    <t xml:space="preserve">هذا وهذا</t>
  </si>
  <si>
    <r>
      <rPr>
        <sz val="11"/>
        <color theme="1"/>
        <rFont val="Calibri"/>
        <family val="2"/>
        <charset val="1"/>
      </rPr>
      <t xml:space="preserve">- || </t>
    </r>
    <r>
      <rPr>
        <sz val="11"/>
        <color theme="1"/>
        <rFont val="FreeSans"/>
        <family val="2"/>
      </rPr>
      <t xml:space="preserve">يهرف بما لا يعرف في النحو والاشتقاق</t>
    </r>
  </si>
  <si>
    <r>
      <rPr>
        <sz val="11"/>
        <rFont val="Calibri"/>
        <family val="0"/>
        <charset val="1"/>
      </rPr>
      <t xml:space="preserve">'</t>
    </r>
    <r>
      <rPr>
        <sz val="11"/>
        <rFont val="FreeSans"/>
        <family val="2"/>
      </rPr>
      <t xml:space="preserve">هذا وهذا</t>
    </r>
    <r>
      <rPr>
        <sz val="11"/>
        <rFont val="Calibri"/>
        <family val="0"/>
        <charset val="1"/>
      </rPr>
      <t xml:space="preserve">' = this and that, i.e. both. Codebook puts 'both' under conditional. Suggestion said uncodable, but '</t>
    </r>
    <r>
      <rPr>
        <sz val="11"/>
        <rFont val="FreeSans"/>
        <family val="2"/>
      </rPr>
      <t xml:space="preserve">كلاهما</t>
    </r>
    <r>
      <rPr>
        <sz val="11"/>
        <rFont val="Calibri"/>
        <family val="0"/>
        <charset val="1"/>
      </rPr>
      <t xml:space="preserve">' (P009/P025) was coded conditional - same meaning.</t>
    </r>
  </si>
  <si>
    <t xml:space="preserve">P052</t>
  </si>
  <si>
    <t xml:space="preserve">على حسب طريقة إستخدامه فإذا كان لتحيل نصوص خارجية لفهم معمق لها فذلك يعزز الابتكار أما إذا كان للإنتهاء من الأعمال بشكل أسرع فذلك مؤدي إلى الأعتمادية</t>
  </si>
  <si>
    <t xml:space="preserve">معرفة مدى دقة المعلومة المقدمة من التطبيق || التحليل الخطئ لبعض الأبيات في مجال البلاغة</t>
  </si>
  <si>
    <r>
      <rPr>
        <sz val="11"/>
        <rFont val="Calibri"/>
        <family val="0"/>
        <charset val="1"/>
      </rPr>
      <t xml:space="preserve">'</t>
    </r>
    <r>
      <rPr>
        <sz val="11"/>
        <rFont val="FreeSans"/>
        <family val="2"/>
      </rPr>
      <t xml:space="preserve">معرفة مدى دقة المعلومة المقدمة</t>
    </r>
    <r>
      <rPr>
        <sz val="11"/>
        <rFont val="Calibri"/>
        <family val="0"/>
        <charset val="1"/>
      </rPr>
      <t xml:space="preserve">' could be read as appraisal skill (T5). Confirmed T1,T2 without it.</t>
    </r>
  </si>
  <si>
    <t xml:space="preserve">P053</t>
  </si>
  <si>
    <t xml:space="preserve">هو "سلاح ذو حدين"؛ فقد يؤدي للاعتمادية إذا اكتفى الطالب بالمخرجات الجاهزة، لكنه يعزز الابتكار إذا استُخدم كـ "مساعد بحثي" لتوليد أفكار أولية، أو للمقارنة بين النصوص، أو لتنظيم البيانات الضخمة، مما يفرغ ذهن الباحث للتحليل الإبداعي العميق.</t>
  </si>
  <si>
    <t xml:space="preserve">أبرز التحديات هي "عدم الدقة في ضبط النصوص وتشكيلها" بشكل صحيح تماماً، بالإضافة إلى ضعف قدرة بعض الأدوات على فهم "المجاز والكناية" وخصوصية الأدب العربي القديم، مما قد يؤدي إلى تفسيرات سطحية أو خاطئة أحياناً. || واجهتُ تجربة قام فيها الذكاء الاصطناعي بـ "اختلاق" أبيات شعرية ونسبها لشاعر جاهلي، أو خلطه بين قواعد النحو لمدرسة البصرة والكوفة في مسألة خلافية واحدة، مما جعلني أدرك أهمية التحقق من المصادر وعدم التسليم المطلق بصحة النتائج.</t>
  </si>
  <si>
    <t xml:space="preserve">T1,T2,T3</t>
  </si>
  <si>
    <t xml:space="preserve">P054</t>
  </si>
  <si>
    <t xml:space="preserve">التقانة || لايوجد</t>
  </si>
  <si>
    <t xml:space="preserve">P055</t>
  </si>
  <si>
    <t xml:space="preserve">بعزز الابتكار</t>
  </si>
  <si>
    <t xml:space="preserve">عدم استيعابه للغة العربية وقواعدها || عدم وجود مصادر دقيقة تثبت المعلومة</t>
  </si>
  <si>
    <t xml:space="preserve">P056</t>
  </si>
  <si>
    <t xml:space="preserve">في الحقيقة ارى انه الاعتمادية أشتقت التفكير بمفردي</t>
  </si>
  <si>
    <t xml:space="preserve">عدم الدقه كونه ضعيف في العربية || الاجابات الخاطئة لشات جي بي تي</t>
  </si>
  <si>
    <t xml:space="preserve">P057</t>
  </si>
  <si>
    <t xml:space="preserve">لا اعلم حسب</t>
  </si>
  <si>
    <t xml:space="preserve">عدم الدقة في المعلومات، تحديد بالضبط ما اريد من الذكاء الصناعي || دايما اواجة سلبية</t>
  </si>
  <si>
    <t xml:space="preserve">P058</t>
  </si>
  <si>
    <t xml:space="preserve">الاثنين</t>
  </si>
  <si>
    <t xml:space="preserve">دقة المعلومات || عدم دقة المعلومات</t>
  </si>
  <si>
    <r>
      <rPr>
        <sz val="11"/>
        <rFont val="Calibri"/>
        <family val="0"/>
        <charset val="1"/>
      </rPr>
      <t xml:space="preserve">'</t>
    </r>
    <r>
      <rPr>
        <sz val="11"/>
        <rFont val="FreeSans"/>
        <family val="2"/>
      </rPr>
      <t xml:space="preserve">الاثنين</t>
    </r>
    <r>
      <rPr>
        <sz val="11"/>
        <rFont val="Calibri"/>
        <family val="0"/>
        <charset val="1"/>
      </rPr>
      <t xml:space="preserve">' = both. Same phrase family as '</t>
    </r>
    <r>
      <rPr>
        <sz val="11"/>
        <rFont val="FreeSans"/>
        <family val="2"/>
      </rPr>
      <t xml:space="preserve">الاثنان معا</t>
    </r>
    <r>
      <rPr>
        <sz val="11"/>
        <rFont val="Calibri"/>
        <family val="0"/>
        <charset val="1"/>
      </rPr>
      <t xml:space="preserve">' (P067) and '</t>
    </r>
    <r>
      <rPr>
        <sz val="11"/>
        <rFont val="FreeSans"/>
        <family val="2"/>
      </rPr>
      <t xml:space="preserve">الاثنين معا</t>
    </r>
    <r>
      <rPr>
        <sz val="11"/>
        <rFont val="Calibri"/>
        <family val="0"/>
        <charset val="1"/>
      </rPr>
      <t xml:space="preserve">' (P118), both coded conditional. Suggestion said uncodable.</t>
    </r>
  </si>
  <si>
    <t xml:space="preserve">P059</t>
  </si>
  <si>
    <t xml:space="preserve">الاعتمادية وبشدة</t>
  </si>
  <si>
    <t xml:space="preserve">أحيانا يكون غبيا لا يفهم || يحلل على راسه ويقلب المعاني فوق تحت</t>
  </si>
  <si>
    <t xml:space="preserve">P060</t>
  </si>
  <si>
    <t xml:space="preserve">يعزز الإبتكار و تفكير نقدي</t>
  </si>
  <si>
    <t xml:space="preserve">معلوماته عام و لم يتعمق في اللغة العربية بشكل كبير و نقص كبير في تحليل النصوص || ضعيفه في شرح النصوص الأدبية</t>
  </si>
  <si>
    <t xml:space="preserve">P061</t>
  </si>
  <si>
    <t xml:space="preserve">بالاستخدام الصحيح قد يعزز الابتكار، لكن إذا استُخدم بشكل اتكّالي فإنه قاتل للابداع.</t>
  </si>
  <si>
    <t xml:space="preserve">الموثوقية والأمانة العلمية. || طلبت من إحدى المنصات اختيار قصيدة من الديوان المطبوع عندي وقام بإنشاء قصيدة فقط لكي يجاوب على السؤال.</t>
  </si>
  <si>
    <t xml:space="preserve">T3</t>
  </si>
  <si>
    <r>
      <rPr>
        <sz val="11"/>
        <rFont val="Calibri"/>
        <family val="0"/>
        <charset val="1"/>
      </rPr>
      <t xml:space="preserve">'</t>
    </r>
    <r>
      <rPr>
        <sz val="11"/>
        <rFont val="FreeSans"/>
        <family val="2"/>
      </rPr>
      <t xml:space="preserve">الموثوقية والأمانة العلمية</t>
    </r>
    <r>
      <rPr>
        <sz val="11"/>
        <rFont val="Calibri"/>
        <family val="0"/>
        <charset val="1"/>
      </rPr>
      <t xml:space="preserve">' -&gt; T1; the platform inventing a poem to answer -&gt; T3. Suggestion had T3 only.</t>
    </r>
  </si>
  <si>
    <t xml:space="preserve">P062</t>
  </si>
  <si>
    <t xml:space="preserve">هو وسط بين هذ وذاك ويرجع في الأخير إلى كيفية استعمال الشخص له والغرض والهدف منه فقد يؤدي إلى الاعتمادية بشكل كبير إذا استعمله الشخص وقام بنسخ المعلومات ونسقها دون قراءتها ومعالجتها وخصوصا في آداء البحوث وقد يستخدمه الشخص في تلقي الأفكار فقط بينهما يقول بمعالجتها وتحليلها بنفسه فقد يدفعه ذلك للابتكار والاعتماد على النفس</t>
  </si>
  <si>
    <t xml:space="preserve">المعلومات غير دقيقة في بعض الأحيان ، ولا يتناول التحليل العميق || في تحليل النصوص وفهم المعنى العام من البيت فيساعد على تحليله وفهمه بلاغيا</t>
  </si>
  <si>
    <r>
      <rPr>
        <sz val="11"/>
        <rFont val="Calibri"/>
        <family val="0"/>
        <charset val="1"/>
      </rPr>
      <t xml:space="preserve">'</t>
    </r>
    <r>
      <rPr>
        <sz val="11"/>
        <rFont val="FreeSans"/>
        <family val="2"/>
      </rPr>
      <t xml:space="preserve">لا يتناول التحليل العميق</t>
    </r>
    <r>
      <rPr>
        <sz val="11"/>
        <rFont val="Calibri"/>
        <family val="0"/>
        <charset val="1"/>
      </rPr>
      <t xml:space="preserve">' of Arabic texts -&gt; T2 under rule R-T2a. Note the second half of this response is positive about rhetorical analysis and states no barrier.</t>
    </r>
  </si>
  <si>
    <t xml:space="preserve">P063</t>
  </si>
  <si>
    <t xml:space="preserve">يعزز الابتكار وفي بعض الاستخدامات الخاطئة يؤدي إلى الاعتمادية</t>
  </si>
  <si>
    <t xml:space="preserve">من أبرز التحديات صعوبة التأكد من دقة بعض المعلومات أحيانًا، خاصة في التحليل الأدبي أو الشروح اللغوية، إضافة إلى أن بعض الأدوات تقدّم إجابات عامة لا تراعي مستوى الطالب أو متطلبات المقرر. كما قد يكون من الصعب الحصول على مصادر موثوقة واضحة، أو استخدام التطبيقات بطريقة تساعد على الفهم الحقيقي بدل الاعتماد الكامل عليها. || من التجارب السلبية التي واجهتها أن بعض أدوات الذكاء الاصطناعي كانت تقدّم أحيانًا تحليلات أدبية أو إعرابية غير دقيقة، مما سبّب لي التباسًا أثناء الدراسة</t>
  </si>
  <si>
    <t xml:space="preserve">P064</t>
  </si>
  <si>
    <t xml:space="preserve">لا</t>
  </si>
  <si>
    <t xml:space="preserve">صعوبتها || خطا في المعلومات</t>
  </si>
  <si>
    <r>
      <rPr>
        <sz val="11"/>
        <rFont val="Calibri"/>
        <family val="0"/>
        <charset val="1"/>
      </rPr>
      <t xml:space="preserve">'</t>
    </r>
    <r>
      <rPr>
        <sz val="11"/>
        <rFont val="FreeSans"/>
        <family val="2"/>
      </rPr>
      <t xml:space="preserve">صعوبتها</t>
    </r>
    <r>
      <rPr>
        <sz val="11"/>
        <rFont val="Calibri"/>
        <family val="0"/>
        <charset val="1"/>
      </rPr>
      <t xml:space="preserve">' is too vague to place; confirmed T1 on the strength of the second clause only.</t>
    </r>
  </si>
  <si>
    <t xml:space="preserve">P065</t>
  </si>
  <si>
    <t xml:space="preserve">لاتوجد || تحليل الشعر بشكل غير صحيح</t>
  </si>
  <si>
    <r>
      <rPr>
        <sz val="11"/>
        <rFont val="Calibri"/>
        <family val="0"/>
        <charset val="1"/>
      </rPr>
      <t xml:space="preserve">'</t>
    </r>
    <r>
      <rPr>
        <sz val="11"/>
        <rFont val="FreeSans"/>
        <family val="2"/>
      </rPr>
      <t xml:space="preserve">تحليل الشعر بشكل غير صحيح</t>
    </r>
    <r>
      <rPr>
        <sz val="11"/>
        <rFont val="Calibri"/>
        <family val="0"/>
        <charset val="1"/>
      </rPr>
      <t xml:space="preserve">' - poetry analysis is an Arabic literary domain -&gt; T2 under R-T2a.</t>
    </r>
  </si>
  <si>
    <t xml:space="preserve">P066</t>
  </si>
  <si>
    <t xml:space="preserve">يعزز من الإبتكار لأن الطالب يعتمد على نفسه في إستخراج المعلومات وقد تترسخ في باله عندما يبحثها بنفسه ويمكن الرجوع إلى المعلومة في أي وقت وحين</t>
  </si>
  <si>
    <t xml:space="preserve">لا توجد تحديات فعلية يمكن إعتبارها تحديات خفيفة وطفيفة || ربما عندما يحل بشكل خاطئ في أسئلة سهلة</t>
  </si>
  <si>
    <t xml:space="preserve">P067</t>
  </si>
  <si>
    <t xml:space="preserve">الاثنان معا</t>
  </si>
  <si>
    <t xml:space="preserve">لا يلم بمعظم علوم اللغة العربية || لا يلم بعلوم النحو والصرف والبلاغة والعروض</t>
  </si>
  <si>
    <t xml:space="preserve">P068</t>
  </si>
  <si>
    <t xml:space="preserve">محايد</t>
  </si>
  <si>
    <t xml:space="preserve">عدم دقة المعلومات || مراجع وهمية وابيات شعر مبتكرة</t>
  </si>
  <si>
    <t xml:space="preserve">T1,T3,T4</t>
  </si>
  <si>
    <t xml:space="preserve">P069</t>
  </si>
  <si>
    <t xml:space="preserve">يعزز الابتكار اذا حسن استخدامه</t>
  </si>
  <si>
    <t xml:space="preserve">ضعف فهم الذكاء الاصطناعي للغة العربية || -</t>
  </si>
  <si>
    <r>
      <rPr>
        <sz val="11"/>
        <rFont val="Calibri"/>
        <family val="0"/>
        <charset val="1"/>
      </rPr>
      <t xml:space="preserve">'</t>
    </r>
    <r>
      <rPr>
        <sz val="11"/>
        <rFont val="FreeSans"/>
        <family val="2"/>
      </rPr>
      <t xml:space="preserve">ضعف فهم الذكاء الاصطناعي للغة العربية</t>
    </r>
    <r>
      <rPr>
        <sz val="11"/>
        <rFont val="Calibri"/>
        <family val="0"/>
        <charset val="1"/>
      </rPr>
      <t xml:space="preserve">' names Arabic comprehension. Suggestion T1.</t>
    </r>
  </si>
  <si>
    <t xml:space="preserve">P070</t>
  </si>
  <si>
    <t xml:space="preserve">المعرفة || كتابة الشعر</t>
  </si>
  <si>
    <r>
      <rPr>
        <sz val="11"/>
        <rFont val="Calibri"/>
        <family val="0"/>
        <charset val="1"/>
      </rPr>
      <t xml:space="preserve">'</t>
    </r>
    <r>
      <rPr>
        <sz val="11"/>
        <rFont val="FreeSans"/>
        <family val="2"/>
      </rPr>
      <t xml:space="preserve">المعرفة </t>
    </r>
    <r>
      <rPr>
        <sz val="11"/>
        <rFont val="Calibri"/>
        <family val="0"/>
        <charset val="1"/>
      </rPr>
      <t xml:space="preserve">|| </t>
    </r>
    <r>
      <rPr>
        <sz val="11"/>
        <rFont val="FreeSans"/>
        <family val="2"/>
      </rPr>
      <t xml:space="preserve">كتابة الشعر</t>
    </r>
    <r>
      <rPr>
        <sz val="11"/>
        <rFont val="Calibri"/>
        <family val="0"/>
        <charset val="1"/>
      </rPr>
      <t xml:space="preserve">' - neither clause clearly states a barrier. T9 by default.</t>
    </r>
  </si>
  <si>
    <t xml:space="preserve">P071</t>
  </si>
  <si>
    <t xml:space="preserve">بالطبع الاعتمادية</t>
  </si>
  <si>
    <t xml:space="preserve">لا اعلم؛ لا استخدمه لكن ممكن أن يكون دقة المعلومات || حقيقةً، لا يوجد تجربة كاملة لكن في البداية كنت استخدمه لشرح بعض النقاط وهذا أدى إلى أن حين أواجه نص أواجه صعوبة في تحليله.</t>
  </si>
  <si>
    <t xml:space="preserve">T1,T9</t>
  </si>
  <si>
    <t xml:space="preserve">Dropped T9: it co-occurred with T1 in the suggestion, which rule R-T9 forbids.</t>
  </si>
  <si>
    <t xml:space="preserve">P072</t>
  </si>
  <si>
    <t xml:space="preserve">يعزز الابتكاريع</t>
  </si>
  <si>
    <t xml:space="preserve">وايد تحديات || ما يعرف يعرب</t>
  </si>
  <si>
    <t xml:space="preserve">P073</t>
  </si>
  <si>
    <t xml:space="preserve">يعزز الابتكار إذا استُخدم كأداة "مساعدة" للبحث والتحليل، لكنه قد يؤدي للاعتمادية إذا استُخدم كبديل كلي عن التفكير النقدي والجهد الشخصي.</t>
  </si>
  <si>
    <t xml:space="preserve">ضعف الدقة في التعامل مع القواعد النحوية المعقدة، ومحدودية قدرة الأدوات الحالية على فهم السياقات البلاغية العميقة للنصوص التراثية. || الحصول على إجابات تحتوي على "هلوسة لغوية"، مثل ابتكار قواعد نحوية غير صحيحة أو نسب أبيات شعرية لشعراء لم يكتبوها.</t>
  </si>
  <si>
    <t xml:space="preserve">P074</t>
  </si>
  <si>
    <t xml:space="preserve">يعتمد على كيفية استخدامه في بعض الأحيان يكون استعمالك للذكاء الاصطناعية من الأساس يعتبر إبتكار وفردية</t>
  </si>
  <si>
    <t xml:space="preserve">صعوبة الحصول على المعلومات الدقيقة جدا وصعوبة تعقب الإجابة النموذجية منه || خروجه عن السياق بعد اكثر من محادثة حيث يظهر الى سياق اخر تماما لا يعلم مدى حدود المحادثة أو العلم الذي يملكه المستخدم حيث يتعمق في الكثير من الأحيان</t>
  </si>
  <si>
    <t xml:space="preserve">P075</t>
  </si>
  <si>
    <t xml:space="preserve">إذا اعتمد الإنسان عليه بشكل كامل بدون تفكير فقد يضعف مهاراته العقلية وسيكون أقل القدرة على الإبداع الابتكار</t>
  </si>
  <si>
    <t xml:space="preserve">عدم دقه المعلومات التي يقدمها و كذلك عدم فهمه للقواعد العربيه || ‏عدم دقة المعلومات التاريخية التي يعطيها وكذلك يخلط بين القواعد العربية وخاصة الأساليب البلاغية</t>
  </si>
  <si>
    <t xml:space="preserve">P076</t>
  </si>
  <si>
    <t xml:space="preserve">لا اعلم</t>
  </si>
  <si>
    <t xml:space="preserve">عدم الدقة || لا يوجد</t>
  </si>
  <si>
    <t xml:space="preserve">P077</t>
  </si>
  <si>
    <t xml:space="preserve">الإجابات غير دقيقة || لا توجد</t>
  </si>
  <si>
    <t xml:space="preserve">P078</t>
  </si>
  <si>
    <t xml:space="preserve">كلاهما ، الأمر معتمد على طريقة الاستخدام.</t>
  </si>
  <si>
    <t xml:space="preserve">عدم الدقة + معلومات خاطئة || ١- معاني خاطئة ٢- شرح الأبيات بشكل خاطئ ٣- إعراب الجمل بشكل خاطئ ٤- عدم استجابته عند طلب مصادر عربية لموضوع ما</t>
  </si>
  <si>
    <t xml:space="preserve">P079</t>
  </si>
  <si>
    <t xml:space="preserve">على حسب الفرد، يمكن أن يتشاركا العلمية الإبداعية، فالآلة والذكاء الاصطناعي وحده لا يجلبُ إبداعًا، إنما هو يحلل ويخطط ويقترح أسرعن لكن الجانب الإبداعي والتفكيري يكون عنج الإنسان، وإذا استخدمه الإنسان بطريقة صحيحة يمكن أن يصل لدرجة كبيرة من الإتقان والإبتكار والإبداع.</t>
  </si>
  <si>
    <t xml:space="preserve">صعوبة فهمه للعربية، ويجب إدخال معلومات صحيحة له، لأنه قد يأتي بعلمٍ وحده، أو يفسّر شيئًا خاطئًا بطريقة تجعلك تقتنع به، وكذلك محدودية الوصول المجاني || لا يستطيع تحليل الأبيات الشعرية، عندما لم أجد شرحًا لا في الكتب ولا في الشبكة المعلوماتية، استنعت بالذكاء، لكنه لا يحلل بشكل صحيح</t>
  </si>
  <si>
    <t xml:space="preserve">T1,T2,T8</t>
  </si>
  <si>
    <t xml:space="preserve">P080</t>
  </si>
  <si>
    <t xml:space="preserve">سلاح ذو حدين</t>
  </si>
  <si>
    <t xml:space="preserve">عدم دقة المعلومات أحيانا || يعطيني أبيات من تأليفه</t>
  </si>
  <si>
    <t xml:space="preserve">P081</t>
  </si>
  <si>
    <t xml:space="preserve">معلومات غير دقيقة ومعظمها خاطئة || أبيات شعرية غير موجودة</t>
  </si>
  <si>
    <t xml:space="preserve">P082</t>
  </si>
  <si>
    <t xml:space="preserve">يعتمد على الطالب.</t>
  </si>
  <si>
    <t xml:space="preserve">صعوبة فهمه للفكرة التي أريد إيصالها له || .</t>
  </si>
  <si>
    <t xml:space="preserve">P083</t>
  </si>
  <si>
    <t xml:space="preserve">محدودية استخدام الصور فيها || لا يوجذد</t>
  </si>
  <si>
    <t xml:space="preserve">T8</t>
  </si>
  <si>
    <r>
      <rPr>
        <sz val="11"/>
        <rFont val="Calibri"/>
        <family val="0"/>
        <charset val="1"/>
      </rPr>
      <t xml:space="preserve">'</t>
    </r>
    <r>
      <rPr>
        <sz val="11"/>
        <rFont val="FreeSans"/>
        <family val="2"/>
      </rPr>
      <t xml:space="preserve">محدودية استخدام الصور فيها</t>
    </r>
    <r>
      <rPr>
        <sz val="11"/>
        <rFont val="Calibri"/>
        <family val="0"/>
        <charset val="1"/>
      </rPr>
      <t xml:space="preserve">' = limits on image use -&gt; T8 under R-T8. Suggestion T9.</t>
    </r>
  </si>
  <si>
    <t xml:space="preserve">P084</t>
  </si>
  <si>
    <t xml:space="preserve">يختلف ذلك بين طالب وآخر هناك من يتّكل عليهِ في صغيرهِ وكبيرهِ وهناك من يجعله أداةً للإبداع واكتساب المهارات</t>
  </si>
  <si>
    <t xml:space="preserve">لا يقول (لا أعلم)، وإن كانت إجابته خاطئة، ولكن غالبًا لدي علمٌ كافٍ لتمييز ما إن كانت إجابته صحيحةً أم خاطئة || عدم إلمامه بالمعلومات الأدبية واللغوية كلّها</t>
  </si>
  <si>
    <r>
      <rPr>
        <sz val="11"/>
        <rFont val="Calibri"/>
        <family val="0"/>
        <charset val="1"/>
      </rPr>
      <t xml:space="preserve">'</t>
    </r>
    <r>
      <rPr>
        <sz val="11"/>
        <rFont val="FreeSans"/>
        <family val="2"/>
      </rPr>
      <t xml:space="preserve">عدم إلمامه بالمعلومات الأدبية واللغوية</t>
    </r>
    <r>
      <rPr>
        <sz val="11"/>
        <rFont val="Calibri"/>
        <family val="0"/>
        <charset val="1"/>
      </rPr>
      <t xml:space="preserve">' names literary/linguistic knowledge -&gt; T2, missed.</t>
    </r>
  </si>
  <si>
    <t xml:space="preserve">P085</t>
  </si>
  <si>
    <t xml:space="preserve">الإعتمادية</t>
  </si>
  <si>
    <t xml:space="preserve">عدم دقة المعلومات || -</t>
  </si>
  <si>
    <t xml:space="preserve">P086</t>
  </si>
  <si>
    <t xml:space="preserve">عدم مناسبته أحيانا لموضوعات دراستنا حيث يوجد أخطاء كثيرة في استجابته. || عدم إلمامه بالظواهر اللغوية أحيانا؛ فيكرر الكلام دون الوصول إلى نتيجة.</t>
  </si>
  <si>
    <t xml:space="preserve">P087</t>
  </si>
  <si>
    <t xml:space="preserve">أرى أنه يعتمد على كيفية الإستخدام</t>
  </si>
  <si>
    <t xml:space="preserve">دقة الإجابات و ندرة المراجع الموثوقة التي يعتمد عليها الذكاء الاصطناعي في الإجابة || عندما طلبت من الذكاء الاصطناعي ان يحل لي سؤال نحوي يجمع بين أكثر من قاعدة لم يستطع حله بالشكل الصحيح</t>
  </si>
  <si>
    <t xml:space="preserve">P088</t>
  </si>
  <si>
    <t xml:space="preserve">الاعتمادية طبعا</t>
  </si>
  <si>
    <t xml:space="preserve">لا أستطيع معرفة صحة الإجابة من خطئها || -</t>
  </si>
  <si>
    <t xml:space="preserve">P089</t>
  </si>
  <si>
    <t xml:space="preserve">الاعتماد عليه أحيانا مثلا في تحليل نص أدبي يحد من قدرتك على التفكير ويقيدك بما هو موجود أمامك من شرح أو إيضاح أو تحليل || عدم الدقة فيه خاصة في الإعراب والبلاغة</t>
  </si>
  <si>
    <r>
      <rPr>
        <sz val="11"/>
        <rFont val="Calibri"/>
        <family val="0"/>
        <charset val="1"/>
      </rPr>
      <t xml:space="preserve">Over-reliance harming thinking has no T1-T8 home; coded on the </t>
    </r>
    <r>
      <rPr>
        <sz val="11"/>
        <rFont val="FreeSans"/>
        <family val="2"/>
      </rPr>
      <t xml:space="preserve">إعراب</t>
    </r>
    <r>
      <rPr>
        <sz val="11"/>
        <rFont val="Calibri"/>
        <family val="0"/>
        <charset val="1"/>
      </rPr>
      <t xml:space="preserve">/</t>
    </r>
    <r>
      <rPr>
        <sz val="11"/>
        <rFont val="FreeSans"/>
        <family val="2"/>
      </rPr>
      <t xml:space="preserve">بلاغة </t>
    </r>
    <r>
      <rPr>
        <sz val="11"/>
        <rFont val="Calibri"/>
        <family val="0"/>
        <charset val="1"/>
      </rPr>
      <t xml:space="preserve">clause only. See G3.</t>
    </r>
  </si>
  <si>
    <t xml:space="preserve">P090</t>
  </si>
  <si>
    <t xml:space="preserve">أحيانًا يعطي معلومات غير دقيقة أو غير موثوقة || يقدّم شرحًا أو إعرابًا غير دقيق لبعض النصوص العربية، خاصة في القواعد والبلاغة، مما سبب لي فهمًا خاطئًا</t>
  </si>
  <si>
    <t xml:space="preserve">P091</t>
  </si>
  <si>
    <t xml:space="preserve">يعزز الابتكارية والفردية في ضوء المسموح...</t>
  </si>
  <si>
    <t xml:space="preserve">عدم توافق الذكاء الاصطناعي مع مدخلاتي، وإعطاء نتيجة بعيدة من المطلوب. || إنشاء بيوت شعرية غير موجودة قام الذكاء بتوليدها من عقله.</t>
  </si>
  <si>
    <r>
      <rPr>
        <sz val="11"/>
        <rFont val="Calibri"/>
        <family val="0"/>
        <charset val="1"/>
      </rPr>
      <t xml:space="preserve">'</t>
    </r>
    <r>
      <rPr>
        <sz val="11"/>
        <rFont val="FreeSans"/>
        <family val="2"/>
      </rPr>
      <t xml:space="preserve">في ضوء المسموح</t>
    </r>
    <r>
      <rPr>
        <sz val="11"/>
        <rFont val="Calibri"/>
        <family val="0"/>
        <charset val="1"/>
      </rPr>
      <t xml:space="preserve">' is an institutional permission caveat, not a usage condition - kept innovation.</t>
    </r>
  </si>
  <si>
    <t xml:space="preserve">P092</t>
  </si>
  <si>
    <r>
      <rPr>
        <sz val="11"/>
        <color theme="1"/>
        <rFont val="Calibri"/>
        <family val="2"/>
        <charset val="1"/>
      </rPr>
      <t xml:space="preserve">. || </t>
    </r>
    <r>
      <rPr>
        <sz val="11"/>
        <color theme="1"/>
        <rFont val="FreeSans"/>
        <family val="2"/>
      </rPr>
      <t xml:space="preserve">الخلط بي القواعد النحوية والبلاغية والصرفية</t>
    </r>
  </si>
  <si>
    <t xml:space="preserve">P093</t>
  </si>
  <si>
    <t xml:space="preserve">الاثنان معًا يعتمد على الفرد نفسه</t>
  </si>
  <si>
    <t xml:space="preserve">عدم دقة معلومات الذكاء الاصطناعي || المعلومات المغلوطة</t>
  </si>
  <si>
    <t xml:space="preserve">P094</t>
  </si>
  <si>
    <t xml:space="preserve">أرى أنّه يعود لمستخدم الذكاء الاصطناعيّ، فإذا كان معتمدا تماما على هذه البرامج دون تنقيح ما يحصل عليه من معلومات، وإشغال فكره في التأكد من صحتها فإن ذلك يؤدي إلى الاعتماديّة، أمّا إذا كانت برامج الذكاء تُستعمل لمساعدة المستخدم على أداء عمله، أو وضع تصورات يمكن الانطلاق منها، وما إلى ذلك فإنها تعزز الابتكار.</t>
  </si>
  <si>
    <t xml:space="preserve">دقة المعلومات، إعطاء مراجع وهميّة أحيانا، غالبية برامج الذكاء تدعم البحث باللغة الإنجليزيّة. || في شرح أمثلة نظريات لسانيّة وردت في كتاب مترجم قديم، لم يقدم شرحا دقيقا للأمثلة.</t>
  </si>
  <si>
    <t xml:space="preserve">P095</t>
  </si>
  <si>
    <t xml:space="preserve">من وجهة نظري أرى بأنه يؤدِّي إلى الاعتمادية</t>
  </si>
  <si>
    <t xml:space="preserve">لا توجد تحديات كل شيء أصبح سهلا مع وجود الذكاء الاصطناعي || أحيانا تظهر إعرابات خاطئة</t>
  </si>
  <si>
    <t xml:space="preserve">P096</t>
  </si>
  <si>
    <t xml:space="preserve">قد يؤدي إلى الاعتمادية عند استخدامه بشكل مبالغ، ولكنه أحيانًا يعزز من الابتكار عندما يبدأ بإعطائك أفكار إضافية على فكرتك الأساسية مما يعزز من قوتها.</t>
  </si>
  <si>
    <t xml:space="preserve">الحصول على معلومات غير موثوقة. || شرح سطحي للأبيات الشعرية، وكذلك بالنسبة للبلاغة، كما أنه يخلط كثيرًا بين قواعد النحو والصرف.</t>
  </si>
  <si>
    <t xml:space="preserve">P097</t>
  </si>
  <si>
    <t xml:space="preserve">يعزز الابتكار بس محد عاطي هالشي اهتمام</t>
  </si>
  <si>
    <t xml:space="preserve">ما يحل صح || مرات المعلومات تكون خطأ</t>
  </si>
  <si>
    <t xml:space="preserve">P098</t>
  </si>
  <si>
    <t xml:space="preserve">احايد هذا الرأي لأنه له الدورين حقيقةً</t>
  </si>
  <si>
    <t xml:space="preserve">عدم صحة المعلومات ١٠٠٪؜ || اختلاف الاراء</t>
  </si>
  <si>
    <r>
      <rPr>
        <sz val="11"/>
        <rFont val="Calibri"/>
        <family val="0"/>
        <charset val="1"/>
      </rPr>
      <t xml:space="preserve">'</t>
    </r>
    <r>
      <rPr>
        <sz val="11"/>
        <rFont val="FreeSans"/>
        <family val="2"/>
      </rPr>
      <t xml:space="preserve">احايد هذا الرأي لأنه له الدورين حقيقةً</t>
    </r>
    <r>
      <rPr>
        <sz val="11"/>
        <rFont val="Calibri"/>
        <family val="0"/>
        <charset val="1"/>
      </rPr>
      <t xml:space="preserve">' = I stay neutral because it genuinely has both roles. The clause after </t>
    </r>
    <r>
      <rPr>
        <sz val="11"/>
        <rFont val="FreeSans"/>
        <family val="2"/>
      </rPr>
      <t xml:space="preserve">لأنه </t>
    </r>
    <r>
      <rPr>
        <sz val="11"/>
        <rFont val="Calibri"/>
        <family val="0"/>
        <charset val="1"/>
      </rPr>
      <t xml:space="preserve">is an explicit 'both' statement, not an absence of stance.</t>
    </r>
  </si>
  <si>
    <t xml:space="preserve">P099</t>
  </si>
  <si>
    <t xml:space="preserve">لا تستطيع إفادتي في البلاغة || لم أواجه حقيقة</t>
  </si>
  <si>
    <t xml:space="preserve">P100</t>
  </si>
  <si>
    <t xml:space="preserve">يعزز الاعتماديه</t>
  </si>
  <si>
    <t xml:space="preserve">لا أستعمل الذكاء الاصطناعي كثيرا || لا يعطيك الإجابه الدقيقه أو المعلومه الدقيقه التي تريدها</t>
  </si>
  <si>
    <t xml:space="preserve">P101</t>
  </si>
  <si>
    <t xml:space="preserve">الاعتماد</t>
  </si>
  <si>
    <t xml:space="preserve">الاخطاء الجسيمة فيه || بعض الاخطاء الاعرابية</t>
  </si>
  <si>
    <t xml:space="preserve">P102</t>
  </si>
  <si>
    <t xml:space="preserve">غير دقيقة || في البلاغة</t>
  </si>
  <si>
    <t xml:space="preserve">P103</t>
  </si>
  <si>
    <t xml:space="preserve">قد يؤدي الى الاعتمادية احيانا</t>
  </si>
  <si>
    <t xml:space="preserve">الاجابات الغير دقيقة || عند اعراب حروف المعاني دائما يخطئ</t>
  </si>
  <si>
    <r>
      <rPr>
        <sz val="11"/>
        <rFont val="Calibri"/>
        <family val="0"/>
        <charset val="1"/>
      </rPr>
      <t xml:space="preserve">'</t>
    </r>
    <r>
      <rPr>
        <sz val="11"/>
        <rFont val="FreeSans"/>
        <family val="2"/>
      </rPr>
      <t xml:space="preserve">قد يؤدي الى الاعتمادية احيانا</t>
    </r>
    <r>
      <rPr>
        <sz val="11"/>
        <rFont val="Calibri"/>
        <family val="0"/>
        <charset val="1"/>
      </rPr>
      <t xml:space="preserve">' - frequency hedge only, no usage condition, so dependency not conditional.</t>
    </r>
  </si>
  <si>
    <t xml:space="preserve">P104</t>
  </si>
  <si>
    <t xml:space="preserve">يؤدي إلى الاعتماديه</t>
  </si>
  <si>
    <t xml:space="preserve">لا توجد تحديات || عدم الدقة في المعلومات التي تقدمها هذه البرامج</t>
  </si>
  <si>
    <t xml:space="preserve">P105</t>
  </si>
  <si>
    <t xml:space="preserve">الاعتماديه قليلا على حسب الاستخدام</t>
  </si>
  <si>
    <t xml:space="preserve">الدقه في المحتوى || الدقه بسيطه و غير دقيقه مثل التطبيقات الأخرى</t>
  </si>
  <si>
    <t xml:space="preserve">P106</t>
  </si>
  <si>
    <t xml:space="preserve">يعتمد على الشخص نفسه</t>
  </si>
  <si>
    <t xml:space="preserve">لا أستخدمه كثيرا لذا لا أواجه مشكلة || أنني أتكلم وأثق في الذكاء أكثر من عقلي وهذا ما يفسد العقل</t>
  </si>
  <si>
    <r>
      <rPr>
        <sz val="11"/>
        <rFont val="Calibri"/>
        <family val="0"/>
        <charset val="1"/>
      </rPr>
      <t xml:space="preserve">Over-reliance ('</t>
    </r>
    <r>
      <rPr>
        <sz val="11"/>
        <rFont val="FreeSans"/>
        <family val="2"/>
      </rPr>
      <t xml:space="preserve">أثق في الذكاء أكثر من عقلي</t>
    </r>
    <r>
      <rPr>
        <sz val="11"/>
        <rFont val="Calibri"/>
        <family val="0"/>
        <charset val="1"/>
      </rPr>
      <t xml:space="preserve">') coded T9 for the same reason. See G3.</t>
    </r>
  </si>
  <si>
    <t xml:space="preserve">P107</t>
  </si>
  <si>
    <t xml:space="preserve">اجابات غير دقيقة || ما اذكر الحين</t>
  </si>
  <si>
    <t xml:space="preserve">P108</t>
  </si>
  <si>
    <t xml:space="preserve">هو سلاح ذو حديين لا يمكن إجبار الطلاب على استخدامه بشكل معين ، ولكن اذا استخدم بطريقة تولد الأفكار وتلخص الكميات الكبيرة سيكون ذو فائدة</t>
  </si>
  <si>
    <t xml:space="preserve">دقة المحتوى \ صعف الصياغة \ الاقتاباسات حيث يصعب التحقق من الأبيات الشعرية و الأقوال التي يكتبها || مصادره ضعيفه واعتماده على مصادر قوية جدا محدود</t>
  </si>
  <si>
    <r>
      <rPr>
        <sz val="11"/>
        <rFont val="Calibri"/>
        <family val="0"/>
        <charset val="1"/>
      </rPr>
      <t xml:space="preserve">'</t>
    </r>
    <r>
      <rPr>
        <sz val="11"/>
        <rFont val="FreeSans"/>
        <family val="2"/>
      </rPr>
      <t xml:space="preserve">يصعب التحقق من الأبيات الشعرية و الأقوال التي يكتبها</t>
    </r>
    <r>
      <rPr>
        <sz val="11"/>
        <rFont val="Calibri"/>
        <family val="0"/>
        <charset val="1"/>
      </rPr>
      <t xml:space="preserve">' - verse attribution -&gt; T3, missed. '</t>
    </r>
    <r>
      <rPr>
        <sz val="11"/>
        <rFont val="FreeSans"/>
        <family val="2"/>
      </rPr>
      <t xml:space="preserve">صعف الصياغة</t>
    </r>
    <r>
      <rPr>
        <sz val="11"/>
        <rFont val="Calibri"/>
        <family val="0"/>
        <charset val="1"/>
      </rPr>
      <t xml:space="preserve">' -&gt; T2.</t>
    </r>
  </si>
  <si>
    <t xml:space="preserve">P109</t>
  </si>
  <si>
    <t xml:space="preserve">يعزز الابتكار إن لم يعتمد عليه</t>
  </si>
  <si>
    <t xml:space="preserve">جهل الذكاء الاصطناعي باللغة العربية || ذكر أسماء كتب ومراجع لا توجد في العربية</t>
  </si>
  <si>
    <t xml:space="preserve">P110</t>
  </si>
  <si>
    <t xml:space="preserve">P111</t>
  </si>
  <si>
    <t xml:space="preserve">كلاهما، حيث ربما يعتمد عليه الطلاب في استخراج الأفكار والعناوين والمصادر لكنه يعزز من تعزيز فكر الطالب وطريقته للبحث وأن ينظر للأأمور من زاوية أخرى دائمًا</t>
  </si>
  <si>
    <t xml:space="preserve">أنه يعطي أحيانًا معلومات غير دقيقة ويظن أنها صحيحة || عدم دقة المعلومات وأنه أبدًا لا يعترف بالخطأ أو قول لا اعرف الاجابة</t>
  </si>
  <si>
    <t xml:space="preserve">P112</t>
  </si>
  <si>
    <t xml:space="preserve">الاعتمادية بالطبع</t>
  </si>
  <si>
    <t xml:space="preserve">لا استخدمه كثير لذلك لا أعرف التحديات || لا أعلم ، لم استخدمه</t>
  </si>
  <si>
    <t xml:space="preserve">P113</t>
  </si>
  <si>
    <t xml:space="preserve">هذا يعتمد على طريقة استخدام الطالب للذكاء الاصطناعي: هل يأخذ منه المادة العلمية جاهزة،؟أم يأخذ منه بعض الأفكار التي تساعده على البحث والتفكير بنفسه؟</t>
  </si>
  <si>
    <t xml:space="preserve">P114</t>
  </si>
  <si>
    <t xml:space="preserve">الأمرين معا</t>
  </si>
  <si>
    <t xml:space="preserve">لا يوجد || لا يوجد</t>
  </si>
  <si>
    <r>
      <rPr>
        <sz val="11"/>
        <rFont val="Calibri"/>
        <family val="0"/>
        <charset val="1"/>
      </rPr>
      <t xml:space="preserve">Suggestion blank. Both parts are '</t>
    </r>
    <r>
      <rPr>
        <sz val="11"/>
        <rFont val="FreeSans"/>
        <family val="2"/>
      </rPr>
      <t xml:space="preserve">لا يوجد</t>
    </r>
    <r>
      <rPr>
        <sz val="11"/>
        <rFont val="Calibri"/>
        <family val="0"/>
        <charset val="1"/>
      </rPr>
      <t xml:space="preserve">'.</t>
    </r>
  </si>
  <si>
    <t xml:space="preserve">P115</t>
  </si>
  <si>
    <t xml:space="preserve">يعزز الابتكار والفردية.</t>
  </si>
  <si>
    <t xml:space="preserve">يقدم الذكاء الاصطناعي معلومات غير دقيقة أغلب الأحيان || عندما طلبت من أداة تحليل البيت عروضيًا ،لم تستطع أي أداة فعل ذلك.</t>
  </si>
  <si>
    <t xml:space="preserve">P116</t>
  </si>
  <si>
    <t xml:space="preserve">على حسب الشخص</t>
  </si>
  <si>
    <t xml:space="preserve">عدم التيقن من اجابه الذكاء الاصطناعي فتارة يصيب وتارة يخطئ || اردت البحث عن معلومه واعطاني معلومات خاطئة</t>
  </si>
  <si>
    <t xml:space="preserve">P117</t>
  </si>
  <si>
    <t xml:space="preserve">الابتكار، لو ضبط استخدامه بما يعزز الإنتاجية والتفنن.</t>
  </si>
  <si>
    <t xml:space="preserve">الباقات المدفوعة، وتحدي التوكن ( الرصيد) المحدود. || عدم دقة الإجابة، خاصة في مجال النحو والإعراب. ضعيف جدا في هذا المجال، جيميناي أفضلهم فيه كونه مربوطا بجوجل.</t>
  </si>
  <si>
    <t xml:space="preserve">P118</t>
  </si>
  <si>
    <t xml:space="preserve">الاثنين معا</t>
  </si>
  <si>
    <t xml:space="preserve">يحتاج وقت حتى يفهم الذي تريده || المعلومات الخاطئة</t>
  </si>
  <si>
    <t xml:space="preserve">P119</t>
  </si>
  <si>
    <t xml:space="preserve">الى الاعتمادية</t>
  </si>
  <si>
    <t xml:space="preserve">لا استخدمه لاني لا ازال ارى انه غير قادر على القيام بالمطلوب على وجه صحيح || لا يمكنه التفكير كطالب او ناقد ما زال يحتاج تطويرا</t>
  </si>
  <si>
    <t xml:space="preserve">P120</t>
  </si>
  <si>
    <t xml:space="preserve">بعض البرنامج يحب أن ندفع مقابل مادي لاستخدامها || بعض البرامج غير مدعومة باللغه العربية</t>
  </si>
  <si>
    <t xml:space="preserve">T6,T8</t>
  </si>
  <si>
    <t xml:space="preserve">P121</t>
  </si>
  <si>
    <t xml:space="preserve">يعتمد على المستخدم وطريقة استغلاله لهذه الأداة.</t>
  </si>
  <si>
    <t xml:space="preserve">قلة المعرفة بالبرامج المناسبة وتوظيفها . || لا توجد .</t>
  </si>
  <si>
    <t xml:space="preserve">T5,T9</t>
  </si>
  <si>
    <t xml:space="preserve">Dropped T9, which co-occurred with T5. Rule R-T9.</t>
  </si>
  <si>
    <t xml:space="preserve">P122</t>
  </si>
  <si>
    <t xml:space="preserve">هنا أقف محايدةً. ما أراه اليوم في محيطنا الجامعيّ من نقاشاتٍ، وأحاديثٍ، وغيرها…تُشير إلى أنَّ نسبةً كبيرةً من الطلبة يعتمدون اعتمادًا كليّا على الذكاء الاصطناعيّ في إكمال متطلباتهم الجامعيّة وهذا مؤسف جدًا وأمرٌ لا نَسعد به بتاتًا..قُتِل التفكير، قُتِل الإبداع، قُتِلت الأمانة العلميّة! ممّا يُؤلم حقًا، عندما نرى طلابًا من جامِعتنا المتميزة يقفون على خشبة التخرج ويقولون بكلِّ ثقةٍ وفخرٍ واعتزازٍ: "تخرجنا نحن وشات"، ليس المُؤلم وجود الذكاء الاصطناعيّ بحد ذاته، ولا حتى استخدامه، إنّما الاعتماد الكليّ عليه حتى باتَ العقل في سُباتٍ عميق وفقد الطلاب مهاراتِهم الإبداعيّة. في المُقابل، إنّني لا أنكر أنَّ الذكاء الاصطناعيّ أداةٌ مساعدة لنا، وتعزز الابتكار بالتأكيد في حالة استخدامها بالطريقة الصحيحة وبالحدود المعقولة.</t>
  </si>
  <si>
    <t xml:space="preserve">تُربكني فكرة اللجوء للذكاء الاصطناعي بشكلٍ عام، حيث أصبح الخيار الأسهل للطالب يهرع إليه عند أبسط سؤال وهذا ما لا يجب على الطالب فعله، فمن المُؤسف أن أرى نفسي تلجأ إلى الذكاء الاصطناعي بعد ما كانت تُشغل عقلها بالتفكير والتحليل والنقد والآن لا تُتعب نفسها في ذلك حتى عند أبسط عرقلة! لربما التحدي البارز هو ذلك التحدي الذي عقدته بيني وبين نفسي في محاولة التقليل من استخدام الذكاء الاصطناعي أثناء الدراسة. وممّا لا شك فيه بأنَّ أدوات الذكاء الاصطناعي لا تُقدم لنا نحن طلاب اللغة العربيّة شيئًا، فقد برمجت بخوارزميّات ضعيفة جدًا. || ما أستطيع قوله بأنَّ الذكاء سيء في اللغة ولا يصلُح للاستعانة به في ذلك.</t>
  </si>
  <si>
    <r>
      <rPr>
        <sz val="11"/>
        <rFont val="Calibri"/>
        <family val="0"/>
        <charset val="1"/>
      </rPr>
      <t xml:space="preserve">Long response opens '</t>
    </r>
    <r>
      <rPr>
        <sz val="11"/>
        <rFont val="FreeSans"/>
        <family val="2"/>
      </rPr>
      <t xml:space="preserve">أقف محايدةً</t>
    </r>
    <r>
      <rPr>
        <sz val="11"/>
        <rFont val="Calibri"/>
        <family val="0"/>
        <charset val="1"/>
      </rPr>
      <t xml:space="preserve">' and reads as dependency for 400+ chars, then concedes the innovation pole in the final sentence. Conditional is only correct if the coder reads to the end. | '</t>
    </r>
    <r>
      <rPr>
        <sz val="11"/>
        <rFont val="FreeSans"/>
        <family val="2"/>
      </rPr>
      <t xml:space="preserve">أدوات الذكاء الاصطناعي لا تُقدم لنا نحن طلاب اللغة العربيّة شيئًا، فقد برمجت بخوارزميّات ضعيفة</t>
    </r>
    <r>
      <rPr>
        <sz val="11"/>
        <rFont val="Calibri"/>
        <family val="0"/>
        <charset val="1"/>
      </rPr>
      <t xml:space="preserve">' -&gt; tools are not built for Arabic (T6), missed by suggestion.</t>
    </r>
  </si>
  <si>
    <t xml:space="preserve">P123</t>
  </si>
  <si>
    <t xml:space="preserve">الابتكار، من خلال التعليمات المنشأة من قبل الآمر.</t>
  </si>
  <si>
    <t xml:space="preserve">عدم دقة المعلومات. || لا يجيد تحليل القصائد.</t>
  </si>
  <si>
    <r>
      <rPr>
        <sz val="11"/>
        <rFont val="Calibri"/>
        <family val="0"/>
        <charset val="1"/>
      </rPr>
      <t xml:space="preserve">'</t>
    </r>
    <r>
      <rPr>
        <sz val="11"/>
        <rFont val="FreeSans"/>
        <family val="2"/>
      </rPr>
      <t xml:space="preserve">لا يجيد تحليل القصائد</t>
    </r>
    <r>
      <rPr>
        <sz val="11"/>
        <rFont val="Calibri"/>
        <family val="0"/>
        <charset val="1"/>
      </rPr>
      <t xml:space="preserve">' -&gt; T2 under R-T2a. Suggestion T1.</t>
    </r>
  </si>
  <si>
    <t xml:space="preserve">P124</t>
  </si>
  <si>
    <t xml:space="preserve">على حسب، ومن الجيد الموازنة في استخدامه.</t>
  </si>
  <si>
    <t xml:space="preserve">ما يفهم ما أقول || …</t>
  </si>
  <si>
    <r>
      <rPr>
        <sz val="11"/>
        <rFont val="Calibri"/>
        <family val="0"/>
        <charset val="1"/>
      </rPr>
      <t xml:space="preserve">'</t>
    </r>
    <r>
      <rPr>
        <sz val="11"/>
        <rFont val="FreeSans"/>
        <family val="2"/>
      </rPr>
      <t xml:space="preserve">ما يفهم ما أقول</t>
    </r>
    <r>
      <rPr>
        <sz val="11"/>
        <rFont val="Calibri"/>
        <family val="0"/>
        <charset val="1"/>
      </rPr>
      <t xml:space="preserve">' treated as T5 for consistency with P082 and P118, where the suggestion layer coded the same 'it does not understand me' complaint as T5. Suggestion here was T1.</t>
    </r>
  </si>
  <si>
    <t xml:space="preserve">P125</t>
  </si>
  <si>
    <t xml:space="preserve">قد يساعد في وجود حلول لأسئله غير معروفه إجابتها بطريقه اسرع و اسهل فإنه يعزز الفردية</t>
  </si>
  <si>
    <t xml:space="preserve">عدم دقه المعلومات || استعنت بالذكاء الاصطناعي لإعراب بعض الكلمات و لكنه لم يعطني إجابه دقيقة</t>
  </si>
  <si>
    <t xml:space="preserve">P126</t>
  </si>
  <si>
    <t xml:space="preserve">على حسب الموقف الذي يوظف فيه، ولكني قد يكون اعتمادي في كثير من الأحيان.</t>
  </si>
  <si>
    <t xml:space="preserve">موثوقية البيانات التي يعطيني إياها وعدم القدرة على الاعتماد عليها. من ناحية شخصية أحب جمع البيانات والحصول عليها بنفسي لتحقيق الفائدة الكبرى. || لم أجرب ذلك، لأنني لا اعتمد عليه في تحصيل مثل هذه العلوم.</t>
  </si>
  <si>
    <t xml:space="preserve">P127</t>
  </si>
  <si>
    <t xml:space="preserve">كلا الجانبَيْن، وما يحكمه هو طريقة استخدام الفرد لأدوات الذكاء الاصطناعي.</t>
  </si>
  <si>
    <t xml:space="preserve">عدم دقّة البيانات وموثوقيتها. || كنت أعدّ بحث عن المعاجم الجُغرافية، ومجال الدراسة هو "مُعجم البُلدان" لياقوت الحمويّ. وكانت الفكرة في الجانب العملي أن استقري البُلدان العُمانية التي أوردها الحموي في مُعجمه واستعنب بأدوات الذكاء الاصطناعي في ذلك، وبعد التحقّق من الجزء ورقم الصفة التي يُعطيني إياها؛ وجدت أنّه يُعطيني معلومات خاطئة.</t>
  </si>
  <si>
    <r>
      <rPr>
        <sz val="11"/>
        <rFont val="Calibri"/>
        <family val="0"/>
        <charset val="1"/>
      </rPr>
      <t xml:space="preserve">The negative experience is wrong volume and page numbers from </t>
    </r>
    <r>
      <rPr>
        <sz val="11"/>
        <rFont val="FreeSans"/>
        <family val="2"/>
      </rPr>
      <t xml:space="preserve">معجم البلدان </t>
    </r>
    <r>
      <rPr>
        <sz val="11"/>
        <rFont val="Calibri"/>
        <family val="0"/>
        <charset val="1"/>
      </rPr>
      <t xml:space="preserve">-&gt; T4, missed.</t>
    </r>
  </si>
  <si>
    <t xml:space="preserve">P128</t>
  </si>
  <si>
    <t xml:space="preserve">يساعد في العصف الذهني في العمق في الأفكار، وتعميق الإشكالات.</t>
  </si>
  <si>
    <t xml:space="preserve">ندرة المعلومات في كيفية استعمال كل أداة. || لا توجد.</t>
  </si>
  <si>
    <r>
      <rPr>
        <sz val="11"/>
        <rFont val="Calibri"/>
        <family val="0"/>
        <charset val="1"/>
      </rPr>
      <t xml:space="preserve">'</t>
    </r>
    <r>
      <rPr>
        <sz val="11"/>
        <rFont val="FreeSans"/>
        <family val="2"/>
      </rPr>
      <t xml:space="preserve">ندرة المعلومات في كيفية استعمال كل أداة</t>
    </r>
    <r>
      <rPr>
        <sz val="11"/>
        <rFont val="Calibri"/>
        <family val="0"/>
        <charset val="1"/>
      </rPr>
      <t xml:space="preserve">' = not knowing how to use the tools -&gt; T5. Suggestion T9.</t>
    </r>
  </si>
  <si>
    <t xml:space="preserve">P129</t>
  </si>
  <si>
    <t xml:space="preserve">يعزز الابتكار والتفكير الفردي</t>
  </si>
  <si>
    <t xml:space="preserve">عدم استطاعته قراءة الكتب الالكترونية وتحديد رقم الصفحات || التجربة السلبية دائماً تكمن في الإعراب، وكذلك تحديد رقم الصفحات والإجابات المتكررة.</t>
  </si>
  <si>
    <r>
      <rPr>
        <sz val="11"/>
        <rFont val="Calibri"/>
        <family val="0"/>
        <charset val="1"/>
      </rPr>
      <t xml:space="preserve">'</t>
    </r>
    <r>
      <rPr>
        <sz val="11"/>
        <rFont val="FreeSans"/>
        <family val="2"/>
      </rPr>
      <t xml:space="preserve">تحديد رقم الصفحات</t>
    </r>
    <r>
      <rPr>
        <sz val="11"/>
        <rFont val="Calibri"/>
        <family val="0"/>
        <charset val="1"/>
      </rPr>
      <t xml:space="preserve">' (page numbers) -&gt; T4; repeated wrong answers -&gt; T1. Suggestion T2 only.</t>
    </r>
  </si>
  <si>
    <t xml:space="preserve">P130</t>
  </si>
  <si>
    <t xml:space="preserve">على حسب هدف المستخدم وطريقة استخدامه له، وهي نوعا ما لا تعزز الابتكار إذا لم تغذى بالمواد الجيدة</t>
  </si>
  <si>
    <t xml:space="preserve">التحدي الأخلاقي || تجربة شات جي بي تي أسوء تجربة ذكاء اصطناعي مرت علي خصوصا في عبثه في الاستشهادات الشعرية وعدم نسبتها الصحيحة لقائلها أو اختلاقها اختلاقا</t>
  </si>
  <si>
    <t xml:space="preserve">P131</t>
  </si>
  <si>
    <t xml:space="preserve">غباء الذكاء الاصطناعي في حل الأسئلة المعقدة في مواد القسم || خذلني في واجب النحو ، وأجاب إجابات خاطئة ولم أعتمد عليه</t>
  </si>
  <si>
    <t xml:space="preserve">P132</t>
  </si>
  <si>
    <t xml:space="preserve">عدم المعرفة التامة باللغة العربية، افتقاده للدقة في الإجابات و معرفة مكنون اللغة كذلك، أجد تطبيقات الذكاء الاصطناعي لا تستطيع خدمة طالب أو دارس العربية ما لم يكن التطبيق خاصا بها. || طلب مصادر قد تساعدني في كتابة موضوع بحثي، إذ أتى بمصادر بعيدة تماما عن الموضوع المذكور له.</t>
  </si>
  <si>
    <t xml:space="preserve">T1,T2,T4,T6</t>
  </si>
  <si>
    <t xml:space="preserve">P133</t>
  </si>
  <si>
    <t xml:space="preserve">على حسب استخدام الفرد</t>
  </si>
  <si>
    <t xml:space="preserve">عدم وجود أداة تخدم اللغة العربية بدقة || الإجابات غير دقيقة</t>
  </si>
  <si>
    <t xml:space="preserve">T1,T6</t>
  </si>
  <si>
    <t xml:space="preserve">P134</t>
  </si>
  <si>
    <t xml:space="preserve">نعم</t>
  </si>
  <si>
    <t xml:space="preserve">الأخطاء || عدم التفكير والأعتماد عليها</t>
  </si>
  <si>
    <r>
      <rPr>
        <sz val="11"/>
        <rFont val="Calibri"/>
        <family val="0"/>
        <charset val="1"/>
      </rPr>
      <t xml:space="preserve">'</t>
    </r>
    <r>
      <rPr>
        <sz val="11"/>
        <rFont val="FreeSans"/>
        <family val="2"/>
      </rPr>
      <t xml:space="preserve">عدم التفكير والأعتماد عليها</t>
    </r>
    <r>
      <rPr>
        <sz val="11"/>
        <rFont val="Calibri"/>
        <family val="0"/>
        <charset val="1"/>
      </rPr>
      <t xml:space="preserve">' is over-reliance, which is not T5 (prompting/appraisal skill) and has no home in T1-T8. Dropped T5. See gap note G3.</t>
    </r>
  </si>
  <si>
    <t xml:space="preserve">P135</t>
  </si>
  <si>
    <t xml:space="preserve">كلاهما حسب الاستخدام</t>
  </si>
  <si>
    <t xml:space="preserve">لا يفهم المطلوب || تحليل الابيات بلاغيًأ، ك تشات</t>
  </si>
  <si>
    <t xml:space="preserve">T2,T5</t>
  </si>
  <si>
    <r>
      <rPr>
        <sz val="11"/>
        <rFont val="Calibri"/>
        <family val="0"/>
        <charset val="1"/>
      </rPr>
      <t xml:space="preserve">'</t>
    </r>
    <r>
      <rPr>
        <sz val="11"/>
        <rFont val="FreeSans"/>
        <family val="2"/>
      </rPr>
      <t xml:space="preserve">لا يفهم المطلوب</t>
    </r>
    <r>
      <rPr>
        <sz val="11"/>
        <rFont val="Calibri"/>
        <family val="0"/>
        <charset val="1"/>
      </rPr>
      <t xml:space="preserve">' -&gt; T5, consistent with P082/P118. Suggestion T2 only.</t>
    </r>
  </si>
  <si>
    <t xml:space="preserve">P136</t>
  </si>
  <si>
    <t xml:space="preserve">قلة المحتوى اللغوي والأدبي في الذكاء الاصطناعي || عدم القدرة على الإعراب الصحيح</t>
  </si>
  <si>
    <t xml:space="preserve">T2,T6</t>
  </si>
  <si>
    <t xml:space="preserve">P137</t>
  </si>
  <si>
    <t xml:space="preserve">عدم الدقة وعدم السرعة || عدم الدقة</t>
  </si>
  <si>
    <r>
      <rPr>
        <sz val="11"/>
        <rFont val="Calibri"/>
        <family val="0"/>
        <charset val="1"/>
      </rPr>
      <t xml:space="preserve">'</t>
    </r>
    <r>
      <rPr>
        <sz val="11"/>
        <rFont val="FreeSans"/>
        <family val="2"/>
      </rPr>
      <t xml:space="preserve">وعدم السرعة</t>
    </r>
    <r>
      <rPr>
        <sz val="11"/>
        <rFont val="Calibri"/>
        <family val="0"/>
        <charset val="1"/>
      </rPr>
      <t xml:space="preserve">' = slowness -&gt; T8 under R-T8. Suggestion T1.</t>
    </r>
  </si>
  <si>
    <t xml:space="preserve">P138</t>
  </si>
  <si>
    <t xml:space="preserve">يعتمد على استخدام الشخص</t>
  </si>
  <si>
    <t xml:space="preserve">عدم توفرها بالجودة العالية || لا يجيد اللغة العربية جيدا</t>
  </si>
  <si>
    <t xml:space="preserve">P139</t>
  </si>
  <si>
    <t xml:space="preserve">الأثنين</t>
  </si>
  <si>
    <t xml:space="preserve">المعلومات الخاطئة || لا أمتلك</t>
  </si>
  <si>
    <r>
      <rPr>
        <sz val="11"/>
        <rFont val="Calibri"/>
        <family val="0"/>
        <charset val="1"/>
      </rPr>
      <t xml:space="preserve">'</t>
    </r>
    <r>
      <rPr>
        <sz val="11"/>
        <rFont val="FreeSans"/>
        <family val="2"/>
      </rPr>
      <t xml:space="preserve">الأثنين</t>
    </r>
    <r>
      <rPr>
        <sz val="11"/>
        <rFont val="Calibri"/>
        <family val="0"/>
        <charset val="1"/>
      </rPr>
      <t xml:space="preserve">' = both. Same as P058/P118. Suggestion said uncodable.</t>
    </r>
  </si>
  <si>
    <t xml:space="preserve">P140</t>
  </si>
  <si>
    <t xml:space="preserve">الجانبان</t>
  </si>
  <si>
    <t xml:space="preserve">الأخطاء النحوية والصرفية || لا يوجد</t>
  </si>
  <si>
    <t xml:space="preserve">P141</t>
  </si>
  <si>
    <t xml:space="preserve">يعتمد ذلك على طريقة الاستعمال؛ فهي تؤدي إلى الاتكاليّة إذا اُعتمد عليها في إصدار الأحكام، أو الخلوص إلى نتائج البحث مثلا. ولكن استخدامها بالطريقة الصحيحة لتوفير الوقت في المهام الطويلة أو فتح نوافذ معرفة جديدة يساعِد المستخدم.</t>
  </si>
  <si>
    <t xml:space="preserve">لا تستطيع برامج الذكاء الاصطناعيّ قراءة النصوص العربيّة -التّراثيّة والمعاصرة- لأنها غير مرقمنة. || كثيرًا ما تمدّني بمعلومات خاطئة عن المراجع العربيّة التراثيّة.</t>
  </si>
  <si>
    <t xml:space="preserve">P142</t>
  </si>
  <si>
    <t xml:space="preserve">بالنسبة لي يساعدني في التحليل والابتكار وسعة الأفق</t>
  </si>
  <si>
    <t xml:space="preserve">عدم دقة المعلومات، واختلاف الإجابة مع اختلاف صياغة السؤال وإن كانت الفكرة واحدة || عدم الدقة! والمصادر الموهومة!</t>
  </si>
  <si>
    <t xml:space="preserve">T1,T4,T5</t>
  </si>
  <si>
    <t xml:space="preserve">P143</t>
  </si>
  <si>
    <t xml:space="preserve">بين الاعتماد و الابتكار</t>
  </si>
  <si>
    <t xml:space="preserve">عدم الدقة || ز</t>
  </si>
  <si>
    <r>
      <rPr>
        <sz val="11"/>
        <rFont val="Calibri"/>
        <family val="0"/>
        <charset val="1"/>
      </rPr>
      <t xml:space="preserve">'</t>
    </r>
    <r>
      <rPr>
        <sz val="11"/>
        <rFont val="FreeSans"/>
        <family val="2"/>
      </rPr>
      <t xml:space="preserve">بين الاعتماد و الابتكار</t>
    </r>
    <r>
      <rPr>
        <sz val="11"/>
        <rFont val="Calibri"/>
        <family val="0"/>
        <charset val="1"/>
      </rPr>
      <t xml:space="preserve">' = between the two, read as the 'both' pole.</t>
    </r>
  </si>
  <si>
    <t xml:space="preserve">P144</t>
  </si>
  <si>
    <t xml:space="preserve">الاعتمادية غالبا</t>
  </si>
  <si>
    <t xml:space="preserve">اختلاف الإجابات || تعدد الإجابات وعدم الدقة</t>
  </si>
  <si>
    <t xml:space="preserve">P145</t>
  </si>
  <si>
    <t xml:space="preserve">يعزز الفردية والابتكار</t>
  </si>
  <si>
    <t xml:space="preserve">عدم إعطاء الطالب المعلومة الدقيقة والكافية لما يبحث عنه || عند البحث عن اعراب جملة ما فإنه يقوم بإعرابها بشكل خاطئ وغير دقيق</t>
  </si>
  <si>
    <t xml:space="preserve">Findings from the inter-model run of 2026-09-04</t>
  </si>
  <si>
    <t xml:space="preserve">Read this before writing up. Inter-model agreement is not intercoder reliability; these findings describe how two models behaved, not whether the codes are correct.</t>
  </si>
  <si>
    <t xml:space="preserve">CONFIGURATION</t>
  </si>
  <si>
    <t xml:space="preserve">annotator A</t>
  </si>
  <si>
    <t xml:space="preserve">openai:gpt-5.5</t>
  </si>
  <si>
    <t xml:space="preserve">coded 141 of 145</t>
  </si>
  <si>
    <t xml:space="preserve">annotator B</t>
  </si>
  <si>
    <t xml:space="preserve">gemini:gemini-2.5-pro</t>
  </si>
  <si>
    <t xml:space="preserve">coded 145 of 145</t>
  </si>
  <si>
    <t xml:space="preserve">adjudicator</t>
  </si>
  <si>
    <t xml:space="preserve">gemini:gemini-3-flash-preview</t>
  </si>
  <si>
    <t xml:space="preserve">22 disputed units; saw codes anonymised and order-shuffled, never model identity</t>
  </si>
  <si>
    <t xml:space="preserve">independence caveat</t>
  </si>
  <si>
    <t xml:space="preserve">Annotator B and the adjudicator are the same lab. This is a pilot configuration, not three independent annotators. Replace one with a third lab before reporting as such.</t>
  </si>
  <si>
    <t xml:space="preserve">HEADLINE FIGURES</t>
  </si>
  <si>
    <t xml:space="preserve">units coded by both</t>
  </si>
  <si>
    <t xml:space="preserve">of 145</t>
  </si>
  <si>
    <t xml:space="preserve">4 units lost to empty responses — see below</t>
  </si>
  <si>
    <t xml:space="preserve">stance agreement</t>
  </si>
  <si>
    <t xml:space="preserve">alpha 0.9892</t>
  </si>
  <si>
    <t xml:space="preserve">At ceiling. Interrogate rather than report flat: see the keyword-trap test below.</t>
  </si>
  <si>
    <t xml:space="preserve">themes exact-set</t>
  </si>
  <si>
    <t xml:space="preserve">alpha 0.8319</t>
  </si>
  <si>
    <t xml:space="preserve">All real disagreement lives here.</t>
  </si>
  <si>
    <t xml:space="preserve">MISSING UNITS — all four from annotator A</t>
  </si>
  <si>
    <t xml:space="preserve">A</t>
  </si>
  <si>
    <t xml:space="preserve">B</t>
  </si>
  <si>
    <t xml:space="preserve">(empty)</t>
  </si>
  <si>
    <r>
      <rPr>
        <sz val="11"/>
        <rFont val="FreeSans"/>
        <family val="2"/>
      </rPr>
      <t xml:space="preserve">هو </t>
    </r>
    <r>
      <rPr>
        <sz val="11"/>
        <rFont val="Calibri"/>
        <family val="0"/>
        <charset val="1"/>
      </rPr>
      <t xml:space="preserve">"</t>
    </r>
    <r>
      <rPr>
        <sz val="11"/>
        <rFont val="FreeSans"/>
        <family val="2"/>
      </rPr>
      <t xml:space="preserve">سلاح ذو حدين</t>
    </r>
    <r>
      <rPr>
        <sz val="11"/>
        <rFont val="Calibri"/>
        <family val="0"/>
        <charset val="1"/>
      </rPr>
      <t xml:space="preserve">"</t>
    </r>
    <r>
      <rPr>
        <sz val="11"/>
        <rFont val="FreeSans"/>
        <family val="2"/>
      </rPr>
      <t xml:space="preserve">؛ فقد يؤدي للاعتمادية إذا اكتفى الطالب بالمخرجات الجاهزة، لكنه يعزز الابتكار إذا استُخدم كـ </t>
    </r>
    <r>
      <rPr>
        <sz val="11"/>
        <rFont val="Calibri"/>
        <family val="0"/>
        <charset val="1"/>
      </rPr>
      <t xml:space="preserve">"</t>
    </r>
    <r>
      <rPr>
        <sz val="11"/>
        <rFont val="FreeSans"/>
        <family val="2"/>
      </rPr>
      <t xml:space="preserve">مساعد بحثي</t>
    </r>
  </si>
  <si>
    <r>
      <rPr>
        <sz val="11"/>
        <rFont val="FreeSans"/>
        <family val="2"/>
      </rPr>
      <t xml:space="preserve">يعزز الابتكارية والفردية في ضوء المسموح</t>
    </r>
    <r>
      <rPr>
        <sz val="11"/>
        <rFont val="Calibri"/>
        <family val="0"/>
        <charset val="1"/>
      </rPr>
      <t xml:space="preserve">...</t>
    </r>
  </si>
  <si>
    <t xml:space="preserve">Not random: every failure is GPT, none is Gemini. Re-run these four, or report n=141 and state the loss.</t>
  </si>
  <si>
    <t xml:space="preserve">KEYWORD-TRAP TEST — does agreement reflect the rules or shared surface bias?</t>
  </si>
  <si>
    <t xml:space="preserve">rule-correct</t>
  </si>
  <si>
    <t xml:space="preserve">suggestion said</t>
  </si>
  <si>
    <t xml:space="preserve">A / B / verdict</t>
  </si>
  <si>
    <t xml:space="preserve">dependency (R-S3 negation)</t>
  </si>
  <si>
    <t xml:space="preserve">(blank)</t>
  </si>
  <si>
    <t xml:space="preserve">A=dependency  B=dependency  -&gt; both correct</t>
  </si>
  <si>
    <t xml:space="preserve">conditional (R-S1 bare both)</t>
  </si>
  <si>
    <t xml:space="preserve">A=conditional  B=conditional  -&gt; both correct</t>
  </si>
  <si>
    <t xml:space="preserve">All five correct, and all five diverge from the suggestion layer in the direction the rules require. Surface-keyword anchoring would have reproduced the suggestion layer's errors instead. This is the evidence that the stance alpha is not merely shared bias.</t>
  </si>
  <si>
    <t xml:space="preserve">INDEPENDENT CHECK ON THE 30 THEME OVERRIDES</t>
  </si>
  <si>
    <t xml:space="preserve">models backed the override</t>
  </si>
  <si>
    <t xml:space="preserve">Both models, blind, reached the code the audit proposed.</t>
  </si>
  <si>
    <t xml:space="preserve">models backed the suggestion</t>
  </si>
  <si>
    <t xml:space="preserve">Not once did they side with the layer flagged as inconsistent.</t>
  </si>
  <si>
    <t xml:space="preserve">models chose a third code</t>
  </si>
  <si>
    <t xml:space="preserve">All three were medium-confidence overrides.</t>
  </si>
  <si>
    <t xml:space="preserve">of the 21: marked low-confidence</t>
  </si>
  <si>
    <t xml:space="preserve">The rules held up better than the confidence ratings did.</t>
  </si>
  <si>
    <t xml:space="preserve">WHERE THE DISPUTES ACTUALLY FELL</t>
  </si>
  <si>
    <t xml:space="preserve">theme</t>
  </si>
  <si>
    <t xml:space="preserve">times in dispute</t>
  </si>
  <si>
    <t xml:space="preserve">comment</t>
  </si>
  <si>
    <t xml:space="preserve">The real fault line. Cause of amendment R-T5b.</t>
  </si>
  <si>
    <t xml:space="preserve">Expected.</t>
  </si>
  <si>
    <t xml:space="preserve">Far less than predicted.</t>
  </si>
  <si>
    <t xml:space="preserve">T7</t>
  </si>
  <si>
    <t xml:space="preserve">T4</t>
  </si>
  <si>
    <t xml:space="preserve">stance disputes</t>
  </si>
  <si>
    <t xml:space="preserve">P123 only. Adjudicator ruled conditional under R-S4; the suggestion layer and the audit pass both said innovation. Good candidate for the human subset.</t>
  </si>
  <si>
    <t xml:space="preserve">Units to re-run before pooling results</t>
  </si>
  <si>
    <t xml:space="preserve">Two groups: calls that returned nothing, and units whose codes depend on the superseded rule R-T5 v1. Re-run these under R-T5b, or exclude them and say so.</t>
  </si>
  <si>
    <t xml:space="preserve">reason</t>
  </si>
  <si>
    <t xml:space="preserve">A_themes</t>
  </si>
  <si>
    <t xml:space="preserve">B_themes</t>
  </si>
  <si>
    <t xml:space="preserve">empty response from annotator A</t>
  </si>
  <si>
    <r>
      <rPr>
        <sz val="11"/>
        <rFont val="FreeSans"/>
        <family val="2"/>
      </rPr>
      <t xml:space="preserve">عدم وجود اداه تجلب معلومات دقيقه عن اللغه العربيه </t>
    </r>
    <r>
      <rPr>
        <sz val="11"/>
        <rFont val="Calibri"/>
        <family val="0"/>
        <charset val="1"/>
      </rPr>
      <t xml:space="preserve">|| </t>
    </r>
    <r>
      <rPr>
        <sz val="11"/>
        <rFont val="FreeSans"/>
        <family val="2"/>
      </rPr>
      <t xml:space="preserve">توليد اعرابات خاطئه وغير منطقيه اصلا</t>
    </r>
  </si>
  <si>
    <r>
      <rPr>
        <sz val="11"/>
        <rFont val="FreeSans"/>
        <family val="2"/>
      </rPr>
      <t xml:space="preserve">الدقة في التحليل اللغوي العميق</t>
    </r>
    <r>
      <rPr>
        <sz val="11"/>
        <rFont val="Calibri"/>
        <family val="0"/>
        <charset val="1"/>
      </rPr>
      <t xml:space="preserve">: </t>
    </r>
    <r>
      <rPr>
        <sz val="11"/>
        <rFont val="FreeSans"/>
        <family val="2"/>
      </rPr>
      <t xml:space="preserve">رغم تطور النماذج، إلا أنها قد تخفق أحياناً في ضبط </t>
    </r>
    <r>
      <rPr>
        <sz val="11"/>
        <rFont val="Calibri"/>
        <family val="0"/>
        <charset val="1"/>
      </rPr>
      <t xml:space="preserve">"</t>
    </r>
    <r>
      <rPr>
        <sz val="11"/>
        <rFont val="FreeSans"/>
        <family val="2"/>
      </rPr>
      <t xml:space="preserve">أواخر الكلم</t>
    </r>
    <r>
      <rPr>
        <sz val="11"/>
        <rFont val="Calibri"/>
        <family val="0"/>
        <charset val="1"/>
      </rPr>
      <t xml:space="preserve">" </t>
    </r>
    <r>
      <rPr>
        <sz val="11"/>
        <rFont val="FreeSans"/>
        <family val="2"/>
      </rPr>
      <t xml:space="preserve">أو إعراب الجمل المعقدة التي تعتمد على السياق البعيد أو</t>
    </r>
  </si>
  <si>
    <t xml:space="preserve">T2,T3</t>
  </si>
  <si>
    <r>
      <rPr>
        <sz val="11"/>
        <rFont val="FreeSans"/>
        <family val="2"/>
      </rPr>
      <t xml:space="preserve">أبرز التحديات هي </t>
    </r>
    <r>
      <rPr>
        <sz val="11"/>
        <rFont val="Calibri"/>
        <family val="0"/>
        <charset val="1"/>
      </rPr>
      <t xml:space="preserve">"</t>
    </r>
    <r>
      <rPr>
        <sz val="11"/>
        <rFont val="FreeSans"/>
        <family val="2"/>
      </rPr>
      <t xml:space="preserve">عدم الدقة في ضبط النصوص وتشكيلها</t>
    </r>
    <r>
      <rPr>
        <sz val="11"/>
        <rFont val="Calibri"/>
        <family val="0"/>
        <charset val="1"/>
      </rPr>
      <t xml:space="preserve">" </t>
    </r>
    <r>
      <rPr>
        <sz val="11"/>
        <rFont val="FreeSans"/>
        <family val="2"/>
      </rPr>
      <t xml:space="preserve">بشكل صحيح تماماً، بالإضافة إلى ضعف قدرة بعض الأدوات على فهم </t>
    </r>
    <r>
      <rPr>
        <sz val="11"/>
        <rFont val="Calibri"/>
        <family val="0"/>
        <charset val="1"/>
      </rPr>
      <t xml:space="preserve">"</t>
    </r>
    <r>
      <rPr>
        <sz val="11"/>
        <rFont val="FreeSans"/>
        <family val="2"/>
      </rPr>
      <t xml:space="preserve">المجاز والكناية</t>
    </r>
    <r>
      <rPr>
        <sz val="11"/>
        <rFont val="Calibri"/>
        <family val="0"/>
        <charset val="1"/>
      </rPr>
      <t xml:space="preserve">" </t>
    </r>
    <r>
      <rPr>
        <sz val="11"/>
        <rFont val="FreeSans"/>
        <family val="2"/>
      </rPr>
      <t xml:space="preserve">وخصوصية الأدب العربي</t>
    </r>
  </si>
  <si>
    <t xml:space="preserve">T3,T5</t>
  </si>
  <si>
    <r>
      <rPr>
        <sz val="11"/>
        <rFont val="FreeSans"/>
        <family val="2"/>
      </rPr>
      <t xml:space="preserve">عدم توافق الذكاء الاصطناعي مع مدخلاتي، وإعطاء نتيجة بعيدة من المطلوب</t>
    </r>
    <r>
      <rPr>
        <sz val="11"/>
        <rFont val="Calibri"/>
        <family val="0"/>
        <charset val="1"/>
      </rPr>
      <t xml:space="preserve">. || </t>
    </r>
    <r>
      <rPr>
        <sz val="11"/>
        <rFont val="FreeSans"/>
        <family val="2"/>
      </rPr>
      <t xml:space="preserve">إنشاء بيوت شعرية غير موجودة قام الذكاء بتوليدها من عقله</t>
    </r>
    <r>
      <rPr>
        <sz val="11"/>
        <rFont val="Calibri"/>
        <family val="0"/>
        <charset val="1"/>
      </rPr>
      <t xml:space="preserve">.</t>
    </r>
  </si>
  <si>
    <t xml:space="preserve">T5 boundary — depends on superseded R-T5 v1</t>
  </si>
  <si>
    <r>
      <rPr>
        <sz val="11"/>
        <rFont val="FreeSans"/>
        <family val="2"/>
      </rPr>
      <t xml:space="preserve">عدم توفر مصادر موثوقة </t>
    </r>
    <r>
      <rPr>
        <sz val="11"/>
        <rFont val="Calibri"/>
        <family val="0"/>
        <charset val="1"/>
      </rPr>
      <t xml:space="preserve">|| </t>
    </r>
    <r>
      <rPr>
        <sz val="11"/>
        <rFont val="FreeSans"/>
        <family val="2"/>
      </rPr>
      <t xml:space="preserve">عدم الفهم السريع،و قلة الدقة في المعاني</t>
    </r>
  </si>
  <si>
    <r>
      <rPr>
        <sz val="11"/>
        <rFont val="FreeSans"/>
        <family val="2"/>
      </rPr>
      <t xml:space="preserve">لا يفهم كثيرا ف اللغة </t>
    </r>
    <r>
      <rPr>
        <sz val="11"/>
        <rFont val="Calibri"/>
        <family val="0"/>
        <charset val="1"/>
      </rPr>
      <t xml:space="preserve">|| !</t>
    </r>
  </si>
  <si>
    <r>
      <rPr>
        <sz val="11"/>
        <rFont val="FreeSans"/>
        <family val="2"/>
      </rPr>
      <t xml:space="preserve">عدم دقة المعلومات اللتي يقدمها و ضعف الفهم للسياق احيانا </t>
    </r>
    <r>
      <rPr>
        <sz val="11"/>
        <rFont val="Calibri"/>
        <family val="0"/>
        <charset val="1"/>
      </rPr>
      <t xml:space="preserve">|| </t>
    </r>
    <r>
      <rPr>
        <sz val="11"/>
        <rFont val="FreeSans"/>
        <family val="2"/>
      </rPr>
      <t xml:space="preserve">لا توجد</t>
    </r>
  </si>
  <si>
    <r>
      <rPr>
        <sz val="11"/>
        <rFont val="FreeSans"/>
        <family val="2"/>
      </rPr>
      <t xml:space="preserve">أحيانا يكون غبيا لا يفهم </t>
    </r>
    <r>
      <rPr>
        <sz val="11"/>
        <rFont val="Calibri"/>
        <family val="0"/>
        <charset val="1"/>
      </rPr>
      <t xml:space="preserve">|| </t>
    </r>
    <r>
      <rPr>
        <sz val="11"/>
        <rFont val="FreeSans"/>
        <family val="2"/>
      </rPr>
      <t xml:space="preserve">يحلل على راسه ويقلب المعاني فوق تحت</t>
    </r>
  </si>
  <si>
    <t xml:space="preserve">T1,T2,T4,T5</t>
  </si>
  <si>
    <t xml:space="preserve">من أبرز التحديات صعوبة التأكد من دقة بعض المعلومات أحيانًا، خاصة في التحليل الأدبي أو الشروح اللغوية، إضافة إلى أن بعض الأدوات تقدّم إجابات عامة لا تر</t>
  </si>
  <si>
    <r>
      <rPr>
        <sz val="11"/>
        <rFont val="FreeSans"/>
        <family val="2"/>
      </rPr>
      <t xml:space="preserve">صعوبتها </t>
    </r>
    <r>
      <rPr>
        <sz val="11"/>
        <rFont val="Calibri"/>
        <family val="0"/>
        <charset val="1"/>
      </rPr>
      <t xml:space="preserve">|| </t>
    </r>
    <r>
      <rPr>
        <sz val="11"/>
        <rFont val="FreeSans"/>
        <family val="2"/>
      </rPr>
      <t xml:space="preserve">خطا في المعلومات</t>
    </r>
  </si>
  <si>
    <r>
      <rPr>
        <sz val="11"/>
        <rFont val="FreeSans"/>
        <family val="2"/>
      </rPr>
      <t xml:space="preserve">الأخطاء </t>
    </r>
    <r>
      <rPr>
        <sz val="11"/>
        <rFont val="Calibri"/>
        <family val="0"/>
        <charset val="1"/>
      </rPr>
      <t xml:space="preserve">|| </t>
    </r>
    <r>
      <rPr>
        <sz val="11"/>
        <rFont val="FreeSans"/>
        <family val="2"/>
      </rPr>
      <t xml:space="preserve">عدم التفكير والأعتماد عليها</t>
    </r>
  </si>
  <si>
    <r>
      <rPr>
        <sz val="11"/>
        <rFont val="FreeSans"/>
        <family val="2"/>
      </rPr>
      <t xml:space="preserve">عدم دقة المعلومات، واختلاف الإجابة مع اختلاف صياغة السؤال وإن كانت الفكرة واحدة </t>
    </r>
    <r>
      <rPr>
        <sz val="11"/>
        <rFont val="Calibri"/>
        <family val="0"/>
        <charset val="1"/>
      </rPr>
      <t xml:space="preserve">|| </t>
    </r>
    <r>
      <rPr>
        <sz val="11"/>
        <rFont val="FreeSans"/>
        <family val="2"/>
      </rPr>
      <t xml:space="preserve">عدم الدقة</t>
    </r>
    <r>
      <rPr>
        <sz val="11"/>
        <rFont val="Calibri"/>
        <family val="0"/>
        <charset val="1"/>
      </rPr>
      <t xml:space="preserve">! </t>
    </r>
    <r>
      <rPr>
        <sz val="11"/>
        <rFont val="FreeSans"/>
        <family val="2"/>
      </rPr>
      <t xml:space="preserve">والمصادر الموهومة</t>
    </r>
    <r>
      <rPr>
        <sz val="11"/>
        <rFont val="Calibri"/>
        <family val="0"/>
        <charset val="1"/>
      </rPr>
      <t xml:space="preserve">!</t>
    </r>
  </si>
  <si>
    <t xml:space="preserve">Human validation sample - code these blind</t>
  </si>
  <si>
    <t xml:space="preserve">The model's codes are deliberately NOT shown on this sheet. If the human coder sees them, the agreement figure is worthless. Code from the Arabic text and the codebook only, then run the comparison below. Stratified random draw, seed 20260904, presented in shuffled order.</t>
  </si>
  <si>
    <t xml:space="preserve">human_stance</t>
  </si>
  <si>
    <t xml:space="preserve">human_themes</t>
  </si>
  <si>
    <t xml:space="preserve">human_note</t>
  </si>
  <si>
    <t xml:space="preserve">AGREEMENT vs MODEL CODES (fills in as the sample is coded)</t>
  </si>
  <si>
    <t xml:space="preserve">Sample size</t>
  </si>
  <si>
    <t xml:space="preserve">36</t>
  </si>
  <si>
    <t xml:space="preserve">Units coded so far</t>
  </si>
  <si>
    <t xml:space="preserve">Stance: model matches human</t>
  </si>
  <si>
    <t xml:space="preserve">Stance: accuracy</t>
  </si>
  <si>
    <t xml:space="preserve">Themes: compare with the Jaccard columns in themes_matrix once these are copied into coder_1_themes on the coding sheet.</t>
  </si>
  <si>
    <t xml:space="preserve">item</t>
  </si>
  <si>
    <t xml:space="preserve">code</t>
  </si>
  <si>
    <t xml:space="preserve">label</t>
  </si>
  <si>
    <t xml:space="preserve">definition</t>
  </si>
  <si>
    <t xml:space="preserve">Stance item (Q4): does AI use lead to dependency, or foster innovation and individuality?</t>
  </si>
  <si>
    <t xml:space="preserve">Dependency</t>
  </si>
  <si>
    <t xml:space="preserve">AI use causes reliance, laziness, or weakens the student.</t>
  </si>
  <si>
    <t xml:space="preserve">Innovation and individuality</t>
  </si>
  <si>
    <t xml:space="preserve">AI use fosters innovation, creativity or individuality.</t>
  </si>
  <si>
    <t xml:space="preserve">Conditional</t>
  </si>
  <si>
    <t xml:space="preserve">Both, or the outcome depends on how, how much, or by whom the tool is used.</t>
  </si>
  <si>
    <t xml:space="preserve">No codable stance</t>
  </si>
  <si>
    <t xml:space="preserve">Empty, evasive, off-topic, or expresses no stance.</t>
  </si>
  <si>
    <t xml:space="preserve">Barrier themes (Q2 + Q6): problems encountered using generative AI for Arabic study</t>
  </si>
  <si>
    <t xml:space="preserve">Inaccurate / unreliable output</t>
  </si>
  <si>
    <t xml:space="preserve">Output is wrong, imprecise, unreliable or misleading (generic inaccuracy).</t>
  </si>
  <si>
    <t xml:space="preserve">Weak Arabic grammar &amp; morphology</t>
  </si>
  <si>
    <t xml:space="preserve">Specifically weak at Arabic grammar/syntax (iʿrāb), morphology, vocalisation, prosody or rhetoric, or produces stilted Arabic.</t>
  </si>
  <si>
    <t xml:space="preserve">Hallucinated literary attribution</t>
  </si>
  <si>
    <t xml:space="preserve">Attributes verses, poems or texts to the wrong poet or author, or invents verses.</t>
  </si>
  <si>
    <t xml:space="preserve">Fabricated / missing references</t>
  </si>
  <si>
    <t xml:space="preserve">Invents or cannot supply references, sources, books or citations.</t>
  </si>
  <si>
    <t xml:space="preserve">Weak prompting / appraisal skill</t>
  </si>
  <si>
    <t xml:space="preserve">The student's own lack of skill in prompting, phrasing or judging output.</t>
  </si>
  <si>
    <t xml:space="preserve">Few Arabic-supporting tools</t>
  </si>
  <si>
    <t xml:space="preserve">No or few tools that support Arabic; tools are English-oriented.</t>
  </si>
  <si>
    <t xml:space="preserve">Faculty / institutional resistance</t>
  </si>
  <si>
    <t xml:space="preserve">Teachers, department or university discourage, forbid or penalise use.</t>
  </si>
  <si>
    <t xml:space="preserve">Cost, limits or connectivity</t>
  </si>
  <si>
    <t xml:space="preserve">Subscription cost, usage limits, connectivity or access problems.</t>
  </si>
  <si>
    <t xml:space="preserve">Other / none</t>
  </si>
  <si>
    <t xml:space="preserve">No barrier stated, or a barrier outside the scheme above.</t>
  </si>
  <si>
    <t xml:space="preserve">DECISION RULES (added after audit; resolve the cases the definitions above leave open)</t>
  </si>
  <si>
    <t xml:space="preserve">rule</t>
  </si>
  <si>
    <t xml:space="preserve">applies to</t>
  </si>
  <si>
    <t xml:space="preserve">why it was needed</t>
  </si>
  <si>
    <t xml:space="preserve">R-S1</t>
  </si>
  <si>
    <t xml:space="preserve">stance</t>
  </si>
  <si>
    <r>
      <rPr>
        <sz val="11"/>
        <rFont val="Calibri"/>
        <family val="0"/>
        <charset val="1"/>
      </rPr>
      <t xml:space="preserve">Any bare 'both' formulation is conditional, not uncodable: </t>
    </r>
    <r>
      <rPr>
        <sz val="11"/>
        <rFont val="FreeSans"/>
        <family val="2"/>
      </rPr>
      <t xml:space="preserve">كلاهما، الاثنين، الأثنين، الاثنان معا، الأمرين معا، الجانبان، هذا وهذا، بين الاعتماد والابتكار</t>
    </r>
    <r>
      <rPr>
        <sz val="11"/>
        <rFont val="Calibri"/>
        <family val="0"/>
        <charset val="1"/>
      </rPr>
      <t xml:space="preserve">.</t>
    </r>
  </si>
  <si>
    <t xml:space="preserve">The definition already puts 'both' under conditional, but bare one-word forms were being read as absence of stance. P051, P058, P139 were coded uncodable while P009, P067, P118 with the same meaning were coded conditional.</t>
  </si>
  <si>
    <t xml:space="preserve">R-S2</t>
  </si>
  <si>
    <r>
      <rPr>
        <sz val="11"/>
        <rFont val="Calibri"/>
        <family val="0"/>
        <charset val="1"/>
      </rPr>
      <t xml:space="preserve">Bare </t>
    </r>
    <r>
      <rPr>
        <sz val="11"/>
        <rFont val="FreeSans"/>
        <family val="2"/>
      </rPr>
      <t xml:space="preserve">محايد </t>
    </r>
    <r>
      <rPr>
        <sz val="11"/>
        <rFont val="Calibri"/>
        <family val="0"/>
        <charset val="1"/>
      </rPr>
      <t xml:space="preserve">with no elaboration is uncodable. </t>
    </r>
    <r>
      <rPr>
        <sz val="11"/>
        <rFont val="FreeSans"/>
        <family val="2"/>
      </rPr>
      <t xml:space="preserve">محايد </t>
    </r>
    <r>
      <rPr>
        <sz val="11"/>
        <rFont val="Calibri"/>
        <family val="0"/>
        <charset val="1"/>
      </rPr>
      <t xml:space="preserve">followed by elaboration is coded on the elaboration.</t>
    </r>
  </si>
  <si>
    <t xml:space="preserve">'Neutral' is a refusal to choose; 'neutral because it has both roles' is a both-statement. Separates P068 from P015 and P098.</t>
  </si>
  <si>
    <t xml:space="preserve">R-S3</t>
  </si>
  <si>
    <t xml:space="preserve">Code the predicate, not the keyword. A pole word inside a negation belongs to the opposite pole.</t>
  </si>
  <si>
    <r>
      <rPr>
        <sz val="11"/>
        <rFont val="Calibri"/>
        <family val="0"/>
        <charset val="1"/>
      </rPr>
      <t xml:space="preserve">P005 '</t>
    </r>
    <r>
      <rPr>
        <sz val="11"/>
        <rFont val="FreeSans"/>
        <family val="2"/>
      </rPr>
      <t xml:space="preserve">يهدم الابتكار والفردية</t>
    </r>
    <r>
      <rPr>
        <sz val="11"/>
        <rFont val="Calibri"/>
        <family val="0"/>
        <charset val="1"/>
      </rPr>
      <t xml:space="preserve">' (destroys innovation) was coded innovation by keyword.</t>
    </r>
  </si>
  <si>
    <t xml:space="preserve">R-S4</t>
  </si>
  <si>
    <t xml:space="preserve">One pole stated with an explicit condition on how, how much, or by whom = conditional.</t>
  </si>
  <si>
    <t xml:space="preserve">Keeps P069, P075, P109, P117 consistent with the multi-pole conditionals.</t>
  </si>
  <si>
    <t xml:space="preserve">R-S5</t>
  </si>
  <si>
    <r>
      <rPr>
        <sz val="11"/>
        <rFont val="Calibri"/>
        <family val="0"/>
        <charset val="1"/>
      </rPr>
      <t xml:space="preserve">Frequency and time hedges (</t>
    </r>
    <r>
      <rPr>
        <sz val="11"/>
        <rFont val="FreeSans"/>
        <family val="2"/>
      </rPr>
      <t xml:space="preserve">قد، أحيانا، على المدى الطويل، غالبا</t>
    </r>
    <r>
      <rPr>
        <sz val="11"/>
        <rFont val="Calibri"/>
        <family val="0"/>
        <charset val="1"/>
      </rPr>
      <t xml:space="preserve">) do NOT make a response conditional. Only usage conditions do.</t>
    </r>
  </si>
  <si>
    <t xml:space="preserve">Without this, P029, P103 and P144 drift into conditional and the category swallows the poles.</t>
  </si>
  <si>
    <t xml:space="preserve">R-S6</t>
  </si>
  <si>
    <t xml:space="preserve">Code the whole response to the last sentence. Long responses can reverse pole at the end.</t>
  </si>
  <si>
    <t xml:space="preserve">P122 reads as dependency for 400+ characters and concedes the innovation pole only in its final sentence.</t>
  </si>
  <si>
    <t xml:space="preserve">R-S7</t>
  </si>
  <si>
    <r>
      <rPr>
        <sz val="11"/>
        <rFont val="Calibri"/>
        <family val="0"/>
        <charset val="1"/>
      </rPr>
      <t xml:space="preserve">Non-responsive tokens are uncodable: - . ! </t>
    </r>
    <r>
      <rPr>
        <sz val="11"/>
        <rFont val="FreeSans"/>
        <family val="2"/>
      </rPr>
      <t xml:space="preserve">نعم، لا، لا اعلم، في بعض الأحيان</t>
    </r>
    <r>
      <rPr>
        <sz val="11"/>
        <rFont val="Calibri"/>
        <family val="0"/>
        <charset val="1"/>
      </rPr>
      <t xml:space="preserve">.</t>
    </r>
  </si>
  <si>
    <t xml:space="preserve">Consistency across P007, P008, P040, P064, P107, P110, P134.</t>
  </si>
  <si>
    <t xml:space="preserve">R-T2a</t>
  </si>
  <si>
    <t xml:space="preserve">themes</t>
  </si>
  <si>
    <r>
      <rPr>
        <sz val="11"/>
        <rFont val="Calibri"/>
        <family val="0"/>
        <charset val="1"/>
      </rPr>
      <t xml:space="preserve">T2 applies whenever the response names an Arabic linguistic or literary domain (</t>
    </r>
    <r>
      <rPr>
        <sz val="11"/>
        <rFont val="FreeSans"/>
        <family val="2"/>
      </rPr>
      <t xml:space="preserve">نحو، صرف، إعراب، بلاغة، عروض، إملاء، تشكيل</t>
    </r>
    <r>
      <rPr>
        <sz val="11"/>
        <rFont val="Calibri"/>
        <family val="0"/>
        <charset val="1"/>
      </rPr>
      <t xml:space="preserve">/</t>
    </r>
    <r>
      <rPr>
        <sz val="11"/>
        <rFont val="FreeSans"/>
        <family val="2"/>
      </rPr>
      <t xml:space="preserve">ضبط، تحليل النصوص أو الأبيات أو الشعر، قواعد اللغة العربية</t>
    </r>
    <r>
      <rPr>
        <sz val="11"/>
        <rFont val="Calibri"/>
        <family val="0"/>
        <charset val="1"/>
      </rPr>
      <t xml:space="preserve">) or says the model is weak at Arabic in general. T1 applies to accuracy complaints with no domain named. Both codes when both are present.</t>
    </r>
  </si>
  <si>
    <t xml:space="preserve">This boundary is the single largest source of coder disagreement in the set. See gap G1.</t>
  </si>
  <si>
    <t xml:space="preserve">R-T2b</t>
  </si>
  <si>
    <r>
      <rPr>
        <sz val="11"/>
        <rFont val="Calibri"/>
        <family val="0"/>
        <charset val="1"/>
      </rPr>
      <t xml:space="preserve">Orthography (</t>
    </r>
    <r>
      <rPr>
        <sz val="11"/>
        <rFont val="FreeSans"/>
        <family val="2"/>
      </rPr>
      <t xml:space="preserve">إملاء</t>
    </r>
    <r>
      <rPr>
        <sz val="11"/>
        <rFont val="Calibri"/>
        <family val="0"/>
        <charset val="1"/>
      </rPr>
      <t xml:space="preserve">) and language proofreading (</t>
    </r>
    <r>
      <rPr>
        <sz val="11"/>
        <rFont val="FreeSans"/>
        <family val="2"/>
      </rPr>
      <t xml:space="preserve">التدقيق اللغوي</t>
    </r>
    <r>
      <rPr>
        <sz val="11"/>
        <rFont val="Calibri"/>
        <family val="0"/>
        <charset val="1"/>
      </rPr>
      <t xml:space="preserve">) fall under T2.</t>
    </r>
  </si>
  <si>
    <t xml:space="preserve">Not listed in the T2 definition; affects P009 and P039.</t>
  </si>
  <si>
    <t xml:space="preserve">R-T2c</t>
  </si>
  <si>
    <t xml:space="preserve">T2 = the model performs badly at Arabic. T6 = tools do not exist, do not support Arabic, or are built for English.</t>
  </si>
  <si>
    <t xml:space="preserve">P029, P122, P133 and P141 complain about tool availability, not model competence.</t>
  </si>
  <si>
    <t xml:space="preserve">R-T4</t>
  </si>
  <si>
    <t xml:space="preserve">T4 covers wrong or unverifiable bibliographic detail, including volume and page numbers, not only invented titles.</t>
  </si>
  <si>
    <t xml:space="preserve">P127 and P129 report wrong page references and were coded T1/T2 only.</t>
  </si>
  <si>
    <t xml:space="preserve">R-T5 (v1)</t>
  </si>
  <si>
    <t xml:space="preserve">SUPERSEDED 2026-09-04 by R-T5b. Original text: T5 is the student's own skill: prompting, phrasing, verifying. By convention in this dataset 'it does not understand what I want' is coded T5.</t>
  </si>
  <si>
    <t xml:space="preserve">Kept for the record. The inter-model run of 2026-09-04 was produced under THIS version, not the amendment below. Any figure computed from that run describes v1.</t>
  </si>
  <si>
    <t xml:space="preserve">R-T8</t>
  </si>
  <si>
    <t xml:space="preserve">T8 covers cost, quota, connectivity AND technical availability: app hanging, slow responses, file-size limits, limits on image generation.</t>
  </si>
  <si>
    <t xml:space="preserve">T8 was defined for cost and access only, leaving these units homeless. See gap G2 before adopting.</t>
  </si>
  <si>
    <t xml:space="preserve">R-T9</t>
  </si>
  <si>
    <t xml:space="preserve">T9 is assigned alone and never combined with T1-T8.</t>
  </si>
  <si>
    <t xml:space="preserve">The suggestion layer emitted T1,T9 (P071) and T5,T9 (P121), which makes 'other/none' meaningless.</t>
  </si>
  <si>
    <t xml:space="preserve">R-TU</t>
  </si>
  <si>
    <r>
      <rPr>
        <sz val="11"/>
        <rFont val="Calibri"/>
        <family val="0"/>
        <charset val="1"/>
      </rPr>
      <t xml:space="preserve">barrier_text holds two survey answers joined by ||. Code the union of both parts. If one part is </t>
    </r>
    <r>
      <rPr>
        <sz val="11"/>
        <rFont val="FreeSans"/>
        <family val="2"/>
      </rPr>
      <t xml:space="preserve">لا يوجد </t>
    </r>
    <r>
      <rPr>
        <sz val="11"/>
        <rFont val="Calibri"/>
        <family val="0"/>
        <charset val="1"/>
      </rPr>
      <t xml:space="preserve">or -, code the other part only.</t>
    </r>
  </si>
  <si>
    <t xml:space="preserve">Otherwise coders differ on whether the second clause counts.</t>
  </si>
  <si>
    <t xml:space="preserve">OPEN GAPS - decide these before the main coding pass</t>
  </si>
  <si>
    <t xml:space="preserve">gap</t>
  </si>
  <si>
    <t xml:space="preserve">issue</t>
  </si>
  <si>
    <t xml:space="preserve">affected units</t>
  </si>
  <si>
    <t xml:space="preserve">options</t>
  </si>
  <si>
    <t xml:space="preserve">G1</t>
  </si>
  <si>
    <t xml:space="preserve">The T1 / T2 boundary. Around 40% of units contain both a generic accuracy complaint and a named Arabic domain, so the choice between T1, T2 and T1+T2 is doing most of the work.</t>
  </si>
  <si>
    <t xml:space="preserve">P008, P062, P065, P069, P084, P123 and roughly 55 double-coded units</t>
  </si>
  <si>
    <t xml:space="preserve">Adopt R-T2a as written (double-code freely), or make T2 exclusive of T1 so the two never co-occur. The second gives cleaner reliability but loses the generic-inaccuracy signal.</t>
  </si>
  <si>
    <t xml:space="preserve">G2</t>
  </si>
  <si>
    <t xml:space="preserve">T8 was defined for cost and access, but several responses report technical failure (hanging, slowness, file-size and image limits).</t>
  </si>
  <si>
    <t xml:space="preserve">P016, P017, P036, P083, P137</t>
  </si>
  <si>
    <t xml:space="preserve">Adopt R-T8 as written, or keep T8 narrow and send these to T9.</t>
  </si>
  <si>
    <t xml:space="preserve">G3</t>
  </si>
  <si>
    <t xml:space="preserve">Over-reliance harming the student's own thinking has no theme. It is not inaccuracy (T1) and not a prompting or appraisal skill (T5).</t>
  </si>
  <si>
    <t xml:space="preserve">P089, P106, P122, P134, and it is the whole substance of P122</t>
  </si>
  <si>
    <t xml:space="preserve">Add T10 'over-reliance / erosion of own skill', or route these to T9 and note the loss.</t>
  </si>
  <si>
    <t xml:space="preserve">G4</t>
  </si>
  <si>
    <t xml:space="preserve">T9 merges 'no barrier stated' with 'a barrier outside the scheme' and with 'I do not use the tool'.</t>
  </si>
  <si>
    <t xml:space="preserve">P003, P030, P040, P054, P070, P110, P112, P114</t>
  </si>
  <si>
    <t xml:space="preserve">Split into T9a (none stated / non-user) and T9b (other), or accept the merge and report it.</t>
  </si>
  <si>
    <t xml:space="preserve">R-T5b</t>
  </si>
  <si>
    <r>
      <rPr>
        <sz val="11"/>
        <rFont val="Calibri"/>
        <family val="0"/>
        <charset val="1"/>
      </rPr>
      <t xml:space="preserve">T5 covers ONLY the student's own skill: their prompting, phrasing, or ability to judge output. A complaint that the MODEL fails to understand Arabic input is not T5 — code it T2 if a linguistic or literary domain is named, otherwise T1. Distinguishing test: whose deficiency does the sentence assert? '</t>
    </r>
    <r>
      <rPr>
        <sz val="11"/>
        <rFont val="FreeSans"/>
        <family val="2"/>
      </rPr>
      <t xml:space="preserve">لا أستطيع صياغة الأوامر</t>
    </r>
    <r>
      <rPr>
        <sz val="11"/>
        <rFont val="Calibri"/>
        <family val="0"/>
        <charset val="1"/>
      </rPr>
      <t xml:space="preserve">' is the student (T5). '</t>
    </r>
    <r>
      <rPr>
        <sz val="11"/>
        <rFont val="FreeSans"/>
        <family val="2"/>
      </rPr>
      <t xml:space="preserve">لا يفهم ما أقول</t>
    </r>
    <r>
      <rPr>
        <sz val="11"/>
        <rFont val="Calibri"/>
        <family val="0"/>
        <charset val="1"/>
      </rPr>
      <t xml:space="preserve">' and '</t>
    </r>
    <r>
      <rPr>
        <sz val="11"/>
        <rFont val="FreeSans"/>
        <family val="2"/>
      </rPr>
      <t xml:space="preserve">ضعف الفهم للسياق</t>
    </r>
    <r>
      <rPr>
        <sz val="11"/>
        <rFont val="Calibri"/>
        <family val="0"/>
        <charset val="1"/>
      </rPr>
      <t xml:space="preserve">' are the model (T1/T2).</t>
    </r>
  </si>
  <si>
    <t xml:space="preserve">AMENDMENT 2026-09-04, post-hoc. R-T5 v1 said 'it does not understand what I want is coded T5', which conflated the two. T5 accounted for 8 of the 22 inter-model disputes — more than T1 (6) and T2 (3) — because both readings were defensible under v1. Units coded under v1 must be re-run before v1 and v2 codes are pooled.</t>
  </si>
  <si>
    <t xml:space="preserve">G5</t>
  </si>
  <si>
    <t xml:space="preserve">The T5 boundary, not the T1/T2 boundary, is the main fault line. Predicted before the run to be T1/T2; the run showed otherwise.</t>
  </si>
  <si>
    <t xml:space="preserve">P004, P008, P019, P059 and 4 further disputed units — see recode_queue</t>
  </si>
  <si>
    <t xml:space="preserve">Resolved by amendment R-T5b. Re-run the affected units, or report them as unresolved and exclude from the theme agreement figure.</t>
  </si>
  <si>
    <t xml:space="preserve">Intercoder reliability</t>
  </si>
  <si>
    <t xml:space="preserve">Every figure below is a live formula over the coding sheet. They read 0 or blank until the human coders fill in columns D, E, I and J. Nothing here is precomputed.</t>
  </si>
  <si>
    <t xml:space="preserve">STANCE - coder 1 vs coder 2</t>
  </si>
  <si>
    <t xml:space="preserve">Units coded by both</t>
  </si>
  <si>
    <t xml:space="preserve">Agreements</t>
  </si>
  <si>
    <t xml:space="preserve">Observed agreement (Po)</t>
  </si>
  <si>
    <t xml:space="preserve">category</t>
  </si>
  <si>
    <t xml:space="preserve">n coder 1</t>
  </si>
  <si>
    <t xml:space="preserve">n coder 2</t>
  </si>
  <si>
    <t xml:space="preserve">p1 x p2</t>
  </si>
  <si>
    <t xml:space="preserve">n1 + n2</t>
  </si>
  <si>
    <t xml:space="preserve">Expected agreement (Pe)</t>
  </si>
  <si>
    <t xml:space="preserve">Cohen's kappa</t>
  </si>
  <si>
    <t xml:space="preserve">Reported figure for a 2-coder nominal scheme.</t>
  </si>
  <si>
    <t xml:space="preserve">n values (2 x paired units)</t>
  </si>
  <si>
    <t xml:space="preserve">Sum of squared category totals</t>
  </si>
  <si>
    <t xml:space="preserve">Expected disagreement (De)</t>
  </si>
  <si>
    <t xml:space="preserve">Krippendorff's alpha (nominal)</t>
  </si>
  <si>
    <t xml:space="preserve">Alpha and kappa differ slightly at this n; report whichever the target journal expects.</t>
  </si>
  <si>
    <t xml:space="preserve">BARRIER THEMES - coder 1 vs coder 2</t>
  </si>
  <si>
    <t xml:space="preserve">Exact set matches</t>
  </si>
  <si>
    <t xml:space="preserve">Exact set agreement</t>
  </si>
  <si>
    <t xml:space="preserve">Mean Jaccard overlap</t>
  </si>
  <si>
    <t xml:space="preserve">Exact match is harsh for multi-label data; Jaccard is the fairer headline, kappa per theme the fairest.</t>
  </si>
  <si>
    <t xml:space="preserve">agreements</t>
  </si>
  <si>
    <t xml:space="preserve">Po</t>
  </si>
  <si>
    <t xml:space="preserve">kappa</t>
  </si>
  <si>
    <t xml:space="preserve">MODEL ANNOTATOR vs HUMAN CODERS</t>
  </si>
  <si>
    <t xml:space="preserve">Populates as the coders work. This is the comparison for the LLM-as-annotator arm; it is not intercoder reliability and must not be reported as such.</t>
  </si>
  <si>
    <t xml:space="preserve">Stance: model vs coder 1</t>
  </si>
  <si>
    <t xml:space="preserve">Stance: model vs coder 2</t>
  </si>
  <si>
    <t xml:space="preserve">Stance: model vs resolved code</t>
  </si>
  <si>
    <t xml:space="preserve">Stance: model vs suggestion</t>
  </si>
  <si>
    <t xml:space="preserve">Themes: mean Jaccard vs coder 1</t>
  </si>
  <si>
    <t xml:space="preserve">Themes: mean Jaccard vs coder 2</t>
  </si>
  <si>
    <t xml:space="preserve">Themes: model vs suggestion (exact set)</t>
  </si>
  <si>
    <t xml:space="preserve">Adjudication view - filter column F or K on DISAGREE</t>
  </si>
  <si>
    <t xml:space="preserve">Status columns are live. Enter resolutions in the yellow columns, then copy them into stance_agreed / barriers_agreed on the coding sheet.</t>
  </si>
  <si>
    <t xml:space="preserve">c1 stance</t>
  </si>
  <si>
    <t xml:space="preserve">c2 stance</t>
  </si>
  <si>
    <t xml:space="preserve">model stance</t>
  </si>
  <si>
    <t xml:space="preserve">stance status</t>
  </si>
  <si>
    <t xml:space="preserve">stance resolution</t>
  </si>
  <si>
    <t xml:space="preserve">c1 themes</t>
  </si>
  <si>
    <t xml:space="preserve">c2 themes</t>
  </si>
  <si>
    <t xml:space="preserve">model themes</t>
  </si>
  <si>
    <t xml:space="preserve">themes status</t>
  </si>
  <si>
    <t xml:space="preserve">themes resolution</t>
  </si>
  <si>
    <t xml:space="preserve">Code frequencies - live formulas</t>
  </si>
  <si>
    <t xml:space="preserve">suggested</t>
  </si>
  <si>
    <t xml:space="preserve">model</t>
  </si>
  <si>
    <t xml:space="preserve">coder 1</t>
  </si>
  <si>
    <t xml:space="preserve">coder 2</t>
  </si>
  <si>
    <t xml:space="preserve">resolved</t>
  </si>
  <si>
    <t xml:space="preserve">Stance</t>
  </si>
  <si>
    <t xml:space="preserve">Units with no stance suggestion / no theme suggestion</t>
  </si>
  <si>
    <t xml:space="preserve">Model overrides: stance / themes</t>
  </si>
  <si>
    <t xml:space="preserve">Where the model annotator diverged from the pre-existing suggestion columns</t>
  </si>
  <si>
    <t xml:space="preserve">These are model judgments, not human coding. Treat each as a proposal for the human coders to accept or reject.</t>
  </si>
  <si>
    <t xml:space="preserve">field</t>
  </si>
  <si>
    <t xml:space="preserve">model code</t>
  </si>
  <si>
    <t xml:space="preserve">confidence</t>
  </si>
  <si>
    <r>
      <rPr>
        <sz val="11"/>
        <rFont val="Calibri"/>
        <family val="0"/>
        <charset val="1"/>
      </rPr>
      <t xml:space="preserve">'</t>
    </r>
    <r>
      <rPr>
        <sz val="11"/>
        <rFont val="FreeSans"/>
        <family val="2"/>
      </rPr>
      <t xml:space="preserve">عدم وجود اداه تجلب معلومات دقيقه عن اللغه العربيه</t>
    </r>
    <r>
      <rPr>
        <sz val="11"/>
        <rFont val="Calibri"/>
        <family val="0"/>
        <charset val="1"/>
      </rPr>
      <t xml:space="preserve">' = absence of an Arabic tool -&gt; T6, missed.</t>
    </r>
  </si>
  <si>
    <r>
      <rPr>
        <sz val="11"/>
        <rFont val="Calibri"/>
        <family val="0"/>
        <charset val="1"/>
      </rPr>
      <t xml:space="preserve">'</t>
    </r>
    <r>
      <rPr>
        <sz val="11"/>
        <rFont val="FreeSans"/>
        <family val="2"/>
      </rPr>
      <t xml:space="preserve">كيفية صياغة المحتوى</t>
    </r>
    <r>
      <rPr>
        <sz val="11"/>
        <rFont val="Calibri"/>
        <family val="0"/>
        <charset val="1"/>
      </rPr>
      <t xml:space="preserve">' listed as a challenge the student faces -&gt; phrasing skill (T5). Reads as T9 only if the phrase is about the model's output rather than the student's prompting.</t>
    </r>
  </si>
  <si>
    <r>
      <rPr>
        <sz val="11"/>
        <rFont val="Calibri"/>
        <family val="0"/>
        <charset val="1"/>
      </rPr>
      <t xml:space="preserve">'</t>
    </r>
    <r>
      <rPr>
        <sz val="11"/>
        <rFont val="FreeSans"/>
        <family val="2"/>
      </rPr>
      <t xml:space="preserve">أدوات الذكاء الاصطناعي لا تُقدم لنا نحن طلاب اللغة العربيّة شيئًا، فقد برمجت بخوارزميّات ضعيفة</t>
    </r>
    <r>
      <rPr>
        <sz val="11"/>
        <rFont val="Calibri"/>
        <family val="0"/>
        <charset val="1"/>
      </rPr>
      <t xml:space="preserve">' -&gt; tools are not built for Arabic (T6), missed by suggestion.</t>
    </r>
  </si>
  <si>
    <t xml:space="preserve">Rows already coded by the human coders - read before the main pass</t>
  </si>
  <si>
    <t xml:space="preserve">In five of these six rows both coders diverge from what the Arabic plainly states. Rows are correctly aligned in the file, so this is not an offset. Either the coders saw a fuller response than column B, or the training pass needs to be repeated before the remaining 139 units go out.</t>
  </si>
  <si>
    <t xml:space="preserve">coder_1</t>
  </si>
  <si>
    <t xml:space="preserve">coder_2</t>
  </si>
  <si>
    <t xml:space="preserve">Agreed and consistent with the text.</t>
  </si>
  <si>
    <r>
      <rPr>
        <sz val="11"/>
        <rFont val="Calibri"/>
        <family val="0"/>
        <charset val="1"/>
      </rPr>
      <t xml:space="preserve">Text states '</t>
    </r>
    <r>
      <rPr>
        <sz val="11"/>
        <rFont val="FreeSans"/>
        <family val="2"/>
      </rPr>
      <t xml:space="preserve">يؤدي إلى الاعتمادية</t>
    </r>
    <r>
      <rPr>
        <sz val="11"/>
        <rFont val="Calibri"/>
        <family val="0"/>
        <charset val="1"/>
      </rPr>
      <t xml:space="preserve">' (leads to dependency). Neither coder chose dependency.</t>
    </r>
  </si>
  <si>
    <t xml:space="preserve">Same text as P002. Both coders chose uncodable on a plain, codable statement.</t>
  </si>
  <si>
    <r>
      <rPr>
        <sz val="11"/>
        <rFont val="Calibri"/>
        <family val="0"/>
        <charset val="1"/>
      </rPr>
      <t xml:space="preserve">'</t>
    </r>
    <r>
      <rPr>
        <sz val="11"/>
        <rFont val="FreeSans"/>
        <family val="2"/>
      </rPr>
      <t xml:space="preserve">إذا زاد استخدامه عن حده</t>
    </r>
    <r>
      <rPr>
        <sz val="11"/>
        <rFont val="Calibri"/>
        <family val="0"/>
        <charset val="1"/>
      </rPr>
      <t xml:space="preserve">' makes this conditional. Coder 2 chose innovation, which the text does not support at all.</t>
    </r>
  </si>
  <si>
    <r>
      <rPr>
        <sz val="11"/>
        <rFont val="Calibri"/>
        <family val="0"/>
        <charset val="1"/>
      </rPr>
      <t xml:space="preserve">'</t>
    </r>
    <r>
      <rPr>
        <sz val="11"/>
        <rFont val="FreeSans"/>
        <family val="2"/>
      </rPr>
      <t xml:space="preserve">يهدم الابتكار والفردية</t>
    </r>
    <r>
      <rPr>
        <sz val="11"/>
        <rFont val="Calibri"/>
        <family val="0"/>
        <charset val="1"/>
      </rPr>
      <t xml:space="preserve">' = destroys innovation. Coder 1 chose innovation, apparently on the keyword; the resolved value is conditional. Model reads this as dependency.</t>
    </r>
  </si>
  <si>
    <r>
      <rPr>
        <sz val="11"/>
        <rFont val="Calibri"/>
        <family val="0"/>
        <charset val="1"/>
      </rPr>
      <t xml:space="preserve">'</t>
    </r>
    <r>
      <rPr>
        <sz val="11"/>
        <rFont val="FreeSans"/>
        <family val="2"/>
      </rPr>
      <t xml:space="preserve">يعزز الابتكار الفردي</t>
    </r>
    <r>
      <rPr>
        <sz val="11"/>
        <rFont val="Calibri"/>
        <family val="0"/>
        <charset val="1"/>
      </rPr>
      <t xml:space="preserve">' with no condition attached. Coder 1 chose conditional. Coder 2 has not coded it.</t>
    </r>
  </si>
  <si>
    <t xml:space="preserve">c1_coded</t>
  </si>
  <si>
    <t xml:space="preserve">c2_coded</t>
  </si>
  <si>
    <t xml:space="preserve">llm_coded</t>
  </si>
  <si>
    <t xml:space="preserve">c1_T1</t>
  </si>
  <si>
    <t xml:space="preserve">c1_T2</t>
  </si>
  <si>
    <t xml:space="preserve">c1_T3</t>
  </si>
  <si>
    <t xml:space="preserve">c1_T4</t>
  </si>
  <si>
    <t xml:space="preserve">c1_T5</t>
  </si>
  <si>
    <t xml:space="preserve">c1_T6</t>
  </si>
  <si>
    <t xml:space="preserve">c1_T7</t>
  </si>
  <si>
    <t xml:space="preserve">c1_T8</t>
  </si>
  <si>
    <t xml:space="preserve">c1_T9</t>
  </si>
  <si>
    <t xml:space="preserve">c2_T1</t>
  </si>
  <si>
    <t xml:space="preserve">c2_T2</t>
  </si>
  <si>
    <t xml:space="preserve">c2_T3</t>
  </si>
  <si>
    <t xml:space="preserve">c2_T4</t>
  </si>
  <si>
    <t xml:space="preserve">c2_T5</t>
  </si>
  <si>
    <t xml:space="preserve">c2_T6</t>
  </si>
  <si>
    <t xml:space="preserve">c2_T7</t>
  </si>
  <si>
    <t xml:space="preserve">c2_T8</t>
  </si>
  <si>
    <t xml:space="preserve">c2_T9</t>
  </si>
  <si>
    <t xml:space="preserve">llm_T1</t>
  </si>
  <si>
    <t xml:space="preserve">llm_T2</t>
  </si>
  <si>
    <t xml:space="preserve">llm_T3</t>
  </si>
  <si>
    <t xml:space="preserve">llm_T4</t>
  </si>
  <si>
    <t xml:space="preserve">llm_T5</t>
  </si>
  <si>
    <t xml:space="preserve">llm_T6</t>
  </si>
  <si>
    <t xml:space="preserve">llm_T7</t>
  </si>
  <si>
    <t xml:space="preserve">llm_T8</t>
  </si>
  <si>
    <t xml:space="preserve">llm_T9</t>
  </si>
  <si>
    <t xml:space="preserve">inter_c1c2</t>
  </si>
  <si>
    <t xml:space="preserve">union_c1c2</t>
  </si>
  <si>
    <t xml:space="preserve">jaccard_c1c2</t>
  </si>
  <si>
    <t xml:space="preserve">exact_c1c2</t>
  </si>
  <si>
    <t xml:space="preserve">jaccard_llm_c1</t>
  </si>
  <si>
    <t xml:space="preserve">jaccard_llm_c2</t>
  </si>
  <si>
    <t xml:space="preserve">Annotation provenance - fill this into the methods section</t>
  </si>
  <si>
    <t xml:space="preserve">Design</t>
  </si>
  <si>
    <t xml:space="preserve">LLM-as-annotator. A language model applies the codebook to all 145 units; a stratified random human-coded subsample provides the gold standard against which model codes are validated.</t>
  </si>
  <si>
    <t xml:space="preserve">Units</t>
  </si>
  <si>
    <t xml:space="preserve">145 Arabic free-text survey responses, two measures (stance, 4 nominal codes; barrier themes, 9 codes, multi-label).</t>
  </si>
  <si>
    <t xml:space="preserve">Codebook version</t>
  </si>
  <si>
    <t xml:space="preserve">Original definitions plus 15 decision rules added after an audit of the machine suggestion layer. See the codebook sheet. Four open gaps (G1-G4) are documented there.</t>
  </si>
  <si>
    <t xml:space="preserve">Model</t>
  </si>
  <si>
    <t xml:space="preserve">RECORD THE EXACT MODEL AND VERSION STRING USED.</t>
  </si>
  <si>
    <t xml:space="preserve">Run date</t>
  </si>
  <si>
    <t xml:space="preserve">RECORD.</t>
  </si>
  <si>
    <t xml:space="preserve">Temperature</t>
  </si>
  <si>
    <t xml:space="preserve">1.0 for the multi-run self-consistency estimate.</t>
  </si>
  <si>
    <t xml:space="preserve">Runs</t>
  </si>
  <si>
    <t xml:space="preserve">RECORD (&gt;=3 recommended). Each unit in each run is a separate API call with no shared context and no sight of other runs; unit order is reshuffled per run.</t>
  </si>
  <si>
    <t xml:space="preserve">Aggregation</t>
  </si>
  <si>
    <t xml:space="preserve">Majority vote across runs. Report the proportion of units where runs were unanimous.</t>
  </si>
  <si>
    <t xml:space="preserve">Suggestions visible?</t>
  </si>
  <si>
    <t xml:space="preserve">The exploratory pass in coding!M:R saw the pre-existing stance_suggested and barriers_suggested values. The runs produced by llm_annotator_runs.py are blind. Report these separately; do not pool them.</t>
  </si>
  <si>
    <t xml:space="preserve">Self-consistency</t>
  </si>
  <si>
    <t xml:space="preserve">Krippendorff's alpha across runs, computed in llm_annotator_runs.py. This is intra-annotator reliability, NOT intercoder reliability.</t>
  </si>
  <si>
    <t xml:space="preserve">Human validation</t>
  </si>
  <si>
    <t xml:space="preserve">n=36 (24.8%), stratified random by model stance code, seed 20260904, coded blind on the validation_sample sheet. Report accuracy and Cohen's kappa against it.</t>
  </si>
  <si>
    <t xml:space="preserve">Low-confidence units</t>
  </si>
  <si>
    <t xml:space="preserve">11 units are flagged 'low' in coding!Q. Have a human check these too, but report them separately - folding them into the validation sample would bias the accuracy estimate.</t>
  </si>
  <si>
    <t xml:space="preserve">What this cannot claim</t>
  </si>
  <si>
    <t xml:space="preserve">With no second human coder, the study cannot report intercoder reliability and cannot claim the codebook is reliably applicable by humans. It can report how well a model reproduces a single human standard on this material.</t>
  </si>
  <si>
    <t xml:space="preserve">Prior human coding</t>
  </si>
  <si>
    <t xml:space="preserve">6 units were coded by hand before this design change. Five of the six diverge from the plain reading of the text (see training_check). Exclude them or recode them; do not carry them into the gold standard as they stand.</t>
  </si>
  <si>
    <t xml:space="preserve">ACTUAL RUN — 2026-09-04</t>
  </si>
  <si>
    <t xml:space="preserve">Design as run</t>
  </si>
  <si>
    <t xml:space="preserve">Two models annotate blind and independently; a third adjudicates disputed units only, seeing candidate codes anonymised and order-shuffled.</t>
  </si>
  <si>
    <t xml:space="preserve">Annotator A</t>
  </si>
  <si>
    <t xml:space="preserve">openai:gpt-5.5 — 141/145 units returned</t>
  </si>
  <si>
    <t xml:space="preserve">Annotator B</t>
  </si>
  <si>
    <t xml:space="preserve">gemini:gemini-2.5-pro — 145/145</t>
  </si>
  <si>
    <t xml:space="preserve">Adjudicator</t>
  </si>
  <si>
    <t xml:space="preserve">gemini:gemini-3-flash-preview — 22 disputed units</t>
  </si>
  <si>
    <t xml:space="preserve">Independence limitation</t>
  </si>
  <si>
    <t xml:space="preserve">Annotator B and the adjudicator share a provider. Report as a pilot; substitute a third lab before claiming three independent annotators.</t>
  </si>
  <si>
    <t xml:space="preserve">1.0</t>
  </si>
  <si>
    <t xml:space="preserve">Suggestions visible</t>
  </si>
  <si>
    <t xml:space="preserve">No. Annotators saw only the Arabic text and the codebook.</t>
  </si>
  <si>
    <t xml:space="preserve">Codebook version at run time</t>
  </si>
  <si>
    <t xml:space="preserve">Decision rules as of 2026-09-04, with R-T5 at v1. R-T5b is a later amendment and does NOT describe this run.</t>
  </si>
  <si>
    <t xml:space="preserve">Inter-model agreement</t>
  </si>
  <si>
    <t xml:space="preserve">stance 0.9929 observed, Krippendorff alpha 0.9892; themes exact-set 0.8511, alpha 0.8319. n=141.</t>
  </si>
  <si>
    <t xml:space="preserve">Interpretation limit</t>
  </si>
  <si>
    <t xml:space="preserve">These are inter-model figures. They cannot establish that the codes are correct — only that two models converged. The 36-unit blind human sample is what supplies validity.</t>
  </si>
  <si>
    <t xml:space="preserve">Outstanding</t>
  </si>
  <si>
    <t xml:space="preserve">4 failed units and 8 T5-boundary units listed in recode_queue; 36-unit human validation sample not yet coded.</t>
  </si>
  <si>
    <t xml:space="preserve">A_stance [openai:gpt-5.5]</t>
  </si>
  <si>
    <t xml:space="preserve">A_themes [openai:gpt-5.5]</t>
  </si>
  <si>
    <t xml:space="preserve">A_reason</t>
  </si>
  <si>
    <t xml:space="preserve">B_stance [gemini:gemini-2.5-pro]</t>
  </si>
  <si>
    <t xml:space="preserve">B_themes [gemini:gemini-2.5-pro]</t>
  </si>
  <si>
    <t xml:space="preserve">B_reason</t>
  </si>
  <si>
    <t xml:space="preserve">stance_agree</t>
  </si>
  <si>
    <t xml:space="preserve">themes_agree</t>
  </si>
  <si>
    <t xml:space="preserve">disputed</t>
  </si>
  <si>
    <t xml:space="preserve">ADJ_stance [gemini:gemini-3-flash-preview]</t>
  </si>
  <si>
    <t xml:space="preserve">ADJ_themes [gemini:gemini-3-flash-preview]</t>
  </si>
  <si>
    <t xml:space="preserve">ADJ_reason</t>
  </si>
  <si>
    <t xml:space="preserve">option_order_shown</t>
  </si>
  <si>
    <t xml:space="preserve">FINAL_stance</t>
  </si>
  <si>
    <t xml:space="preserve">FINAL_themes</t>
  </si>
  <si>
    <t xml:space="preserve">The stance explicitly indicates dependency, and the barriers describe inaccurate or inconsistent information.</t>
  </si>
  <si>
    <t xml:space="preserve">The response states AI use leads to dependency and complains that the answers are inaccurate and the information is inconsistent.</t>
  </si>
  <si>
    <t xml:space="preserve">The stance explicitly says AI leads to dependency, and the barriers mention accuracy and scarcity of sources/references.</t>
  </si>
  <si>
    <t xml:space="preserve">The user states that AI leads to dependency, and its outputs are inaccurate and lack sources and references.</t>
  </si>
  <si>
    <t xml:space="preserve">The stance explicitly says AI leads to dependency, and the barrier response states no specific barrier.</t>
  </si>
  <si>
    <t xml:space="preserve">The response states that AI use leads to dependency.</t>
  </si>
  <si>
    <r>
      <rPr>
        <sz val="11"/>
        <color theme="1"/>
        <rFont val="FreeSans"/>
        <family val="2"/>
      </rPr>
      <t xml:space="preserve">يشترط الجواب أن زيادة الاستخدام عن الحد تؤدي للاعتمادية، وتذكر العوائق نقص المصادر الموثوقة وقلة الدقة في المعاني</t>
    </r>
    <r>
      <rPr>
        <sz val="11"/>
        <color theme="1"/>
        <rFont val="Calibri"/>
        <family val="2"/>
        <charset val="1"/>
      </rPr>
      <t xml:space="preserve">.</t>
    </r>
  </si>
  <si>
    <t xml:space="preserve">The response states that dependency is the outcome only if the use of AI exceeds a certain limit.</t>
  </si>
  <si>
    <t xml:space="preserve">The stance is conditional due to the 'if' condition (R-S4). The themes include T1 (lack of accuracy), T4 (lack of sources), and T5 based on the phrase 'lack of understanding' (R-T5).</t>
  </si>
  <si>
    <t xml:space="preserve">A-first</t>
  </si>
  <si>
    <t xml:space="preserve">The stance says AI destroys innovation and individuality, while the barriers describe unreliable output and weak handling of Arabic.</t>
  </si>
  <si>
    <t xml:space="preserve">The response states that AI use destroys innovation and individuality, is unreliable for deep study, and cannot handle the Arabic language except in the simplest cases.</t>
  </si>
  <si>
    <t xml:space="preserve">The stance explicitly says AI enhances individual innovation, and the barriers describe weak understanding of Arabic language rules/grammar.</t>
  </si>
  <si>
    <t xml:space="preserve">The response states that AI enhances individual innovation.</t>
  </si>
  <si>
    <t xml:space="preserve">The stance response is a non-responsive token, while the barriers mention wrong information and incorrect analysis of verses, an Arabic literary domain.</t>
  </si>
  <si>
    <t xml:space="preserve">The response states the AI provides wrong information, analyzes poetic verses incorrectly, and invents content.</t>
  </si>
  <si>
    <r>
      <rPr>
        <sz val="11"/>
        <color theme="1"/>
        <rFont val="Calibri"/>
        <family val="2"/>
        <charset val="1"/>
      </rPr>
      <t xml:space="preserve">The stance is uncodable per rule R-S7 which explicitly lists '</t>
    </r>
    <r>
      <rPr>
        <sz val="11"/>
        <color theme="1"/>
        <rFont val="FreeSans"/>
        <family val="2"/>
      </rPr>
      <t xml:space="preserve">في بعض الأحيان</t>
    </r>
    <r>
      <rPr>
        <sz val="11"/>
        <color theme="1"/>
        <rFont val="Calibri"/>
        <family val="2"/>
        <charset val="1"/>
      </rPr>
      <t xml:space="preserve">' as non-responsive. The themes include T1 for '</t>
    </r>
    <r>
      <rPr>
        <sz val="11"/>
        <color theme="1"/>
        <rFont val="FreeSans"/>
        <family val="2"/>
      </rPr>
      <t xml:space="preserve">المعلومات الخاطئة</t>
    </r>
    <r>
      <rPr>
        <sz val="11"/>
        <color theme="1"/>
        <rFont val="Calibri"/>
        <family val="2"/>
        <charset val="1"/>
      </rPr>
      <t xml:space="preserve">', T2 for poetry analysis ('</t>
    </r>
    <r>
      <rPr>
        <sz val="11"/>
        <color theme="1"/>
        <rFont val="FreeSans"/>
        <family val="2"/>
      </rPr>
      <t xml:space="preserve">تحليله للأبيات</t>
    </r>
    <r>
      <rPr>
        <sz val="11"/>
        <color theme="1"/>
        <rFont val="Calibri"/>
        <family val="2"/>
        <charset val="1"/>
      </rPr>
      <t xml:space="preserve">') per rule R-T2a, and T3 for the model inventing its own content ('</t>
    </r>
    <r>
      <rPr>
        <sz val="11"/>
        <color theme="1"/>
        <rFont val="FreeSans"/>
        <family val="2"/>
      </rPr>
      <t xml:space="preserve">أشياء من تأليفه</t>
    </r>
    <r>
      <rPr>
        <sz val="11"/>
        <color theme="1"/>
        <rFont val="Calibri"/>
        <family val="2"/>
        <charset val="1"/>
      </rPr>
      <t xml:space="preserve">') in a literary context.</t>
    </r>
  </si>
  <si>
    <t xml:space="preserve">The stance response is a non-responsive token, while the barrier says the tool does not understand much in the language, indicating weak Arabic performance.</t>
  </si>
  <si>
    <t xml:space="preserve">The stance response is an uncodable non-responsive token, and the barrier is that the AI does not understand the language, which points to a user prompting skill issue.</t>
  </si>
  <si>
    <t xml:space="preserve">The stance response is a non-responsive punctuation mark (R-S7). The barrier response states the model does not understand much in the language, which is a general weakness in Arabic (R-T2a).</t>
  </si>
  <si>
    <t xml:space="preserve">B-first</t>
  </si>
  <si>
    <r>
      <rPr>
        <sz val="11"/>
        <color theme="1"/>
        <rFont val="Calibri"/>
        <family val="2"/>
        <charset val="1"/>
      </rPr>
      <t xml:space="preserve">The stance is a bare '</t>
    </r>
    <r>
      <rPr>
        <sz val="11"/>
        <color theme="1"/>
        <rFont val="FreeSans"/>
        <family val="2"/>
      </rPr>
      <t xml:space="preserve">كلاهما</t>
    </r>
    <r>
      <rPr>
        <sz val="11"/>
        <color theme="1"/>
        <rFont val="Calibri"/>
        <family val="2"/>
        <charset val="1"/>
      </rPr>
      <t xml:space="preserve">' indicating both outcomes, while the barriers mention linguistic/orthographic proofreading and reference accuracy.</t>
    </r>
  </si>
  <si>
    <t xml:space="preserve">The respondent states both outcomes are possible.</t>
  </si>
  <si>
    <r>
      <rPr>
        <sz val="11"/>
        <color theme="1"/>
        <rFont val="FreeSans"/>
        <family val="2"/>
      </rPr>
      <t xml:space="preserve">يصرح بأن الذكاء الاصطناعي يعزز الابتكار والفردية، ويذكر مقاومة الدكاترة للاستخدام وخطأ نسبة البيت إلى الشاعر</t>
    </r>
    <r>
      <rPr>
        <sz val="11"/>
        <color theme="1"/>
        <rFont val="Calibri"/>
        <family val="2"/>
        <charset val="1"/>
      </rPr>
      <t xml:space="preserve">.</t>
    </r>
  </si>
  <si>
    <t xml:space="preserve">The response states that AI use fosters innovation and individuality.</t>
  </si>
  <si>
    <t xml:space="preserve">The stance explicitly says AI fosters innovation, and the barrier is the lack of applications that support Arabic.</t>
  </si>
  <si>
    <t xml:space="preserve">The response states that AI use enhances innovation.</t>
  </si>
  <si>
    <t xml:space="preserve">The stance says both outcomes are possible, and the barriers state that AI does not understand Arabic grammar.</t>
  </si>
  <si>
    <t xml:space="preserve">The response states that both outcomes are possible and that the AI does not understand Arabic grammar (nahw).</t>
  </si>
  <si>
    <t xml:space="preserve">The stance says AI enhances innovation and supports students, while the barrier mentions weak scientific accuracy.</t>
  </si>
  <si>
    <t xml:space="preserve">The response states that AI enhances innovation and supports the student in various aspects.</t>
  </si>
  <si>
    <t xml:space="preserve">The stance says both together, while the barriers mention lack of knowledge about using it and wrong or inaccurate information/analysis.</t>
  </si>
  <si>
    <t xml:space="preserve">The response states 'both together,' indicating a conditional outcome.</t>
  </si>
  <si>
    <t xml:space="preserve">The stance says outcomes differ between excessive reliance and creative use, while the barriers mention wrong/misleading answers, lack of documentation, and weakness in iʿrāb/Arabic analysis.</t>
  </si>
  <si>
    <t xml:space="preserve">The stance is conditional because it states that the outcome depends on the person, as some people rely on it excessively while others use it for innovation.</t>
  </si>
  <si>
    <t xml:space="preserve">The stance says the outcome depends on the way AI is used, and the barriers mention inaccurate results/data and analyses in Arabic literature plus difficulty handling large files.</t>
  </si>
  <si>
    <t xml:space="preserve">The stance is conditional because the outcome depends on the method of use, and the barriers are inaccurate results and analyses in Arabic literature and difficulty working with large files.</t>
  </si>
  <si>
    <t xml:space="preserve">The stance is conditional based on the method of use (R-S4). Themes include inaccuracy (T1), a specific Arabic literary domain (T2 per R-T2a), and file size limitations (T8 per R-T8).</t>
  </si>
  <si>
    <t xml:space="preserve">The stance explicitly says AI enhances innovation and individuality, while the barriers mention the program hanging and weak understanding of Arabic grammar rules.</t>
  </si>
  <si>
    <t xml:space="preserve">The response states that AI use enhances innovation and individuality.</t>
  </si>
  <si>
    <t xml:space="preserve">The stance says AI fosters innovation with conscious use but may cause dependency if misused, and the barriers mention inaccurate results and difficulty verifying sources.</t>
  </si>
  <si>
    <t xml:space="preserve">The outcome depends on how the tool is used, fostering innovation with conscious use and causing dependency with misuse.</t>
  </si>
  <si>
    <r>
      <rPr>
        <sz val="11"/>
        <color theme="1"/>
        <rFont val="FreeSans"/>
        <family val="2"/>
      </rPr>
      <t xml:space="preserve">الموقف مشروط لأنه يربط النتيجة بطريقة الاستخدام، والعائق المذكور هو عدم دقة المعلومات وضعف فهم السياق</t>
    </r>
    <r>
      <rPr>
        <sz val="11"/>
        <color theme="1"/>
        <rFont val="Calibri"/>
        <family val="2"/>
        <charset val="1"/>
      </rPr>
      <t xml:space="preserve">.</t>
    </r>
  </si>
  <si>
    <t xml:space="preserve">The response states that the outcome depends on the method of use.</t>
  </si>
  <si>
    <r>
      <rPr>
        <sz val="11"/>
        <color theme="1"/>
        <rFont val="Calibri"/>
        <family val="2"/>
        <charset val="1"/>
      </rPr>
      <t xml:space="preserve">The stance is conditional because it explicitly states the outcome depends on the method of use (Rule R-S4). For themes, T1 is assigned for inaccuracy ('</t>
    </r>
    <r>
      <rPr>
        <sz val="11"/>
        <color theme="1"/>
        <rFont val="FreeSans"/>
        <family val="2"/>
      </rPr>
      <t xml:space="preserve">عدم دقة المعلومات</t>
    </r>
    <r>
      <rPr>
        <sz val="11"/>
        <color theme="1"/>
        <rFont val="Calibri"/>
        <family val="2"/>
        <charset val="1"/>
      </rPr>
      <t xml:space="preserve">') and T5 for the model's failure to understand context ('</t>
    </r>
    <r>
      <rPr>
        <sz val="11"/>
        <color theme="1"/>
        <rFont val="FreeSans"/>
        <family val="2"/>
      </rPr>
      <t xml:space="preserve">ضعف الفهم للسياق</t>
    </r>
    <r>
      <rPr>
        <sz val="11"/>
        <color theme="1"/>
        <rFont val="Calibri"/>
        <family val="2"/>
        <charset val="1"/>
      </rPr>
      <t xml:space="preserve">'), per Rule R-T5.</t>
    </r>
  </si>
  <si>
    <r>
      <rPr>
        <sz val="11"/>
        <color theme="1"/>
        <rFont val="Calibri"/>
        <family val="2"/>
        <charset val="1"/>
      </rPr>
      <t xml:space="preserve">The stance says AI enhances innovation, while the barriers mention inaccurate answers and failure on a grammar question involving Arabic </t>
    </r>
    <r>
      <rPr>
        <sz val="11"/>
        <color theme="1"/>
        <rFont val="FreeSans"/>
        <family val="2"/>
      </rPr>
      <t xml:space="preserve">النحو</t>
    </r>
    <r>
      <rPr>
        <sz val="11"/>
        <color theme="1"/>
        <rFont val="Calibri"/>
        <family val="2"/>
        <charset val="1"/>
      </rPr>
      <t xml:space="preserve">.</t>
    </r>
  </si>
  <si>
    <t xml:space="preserve">The respondent sees AI as enhancing innovation.</t>
  </si>
  <si>
    <r>
      <rPr>
        <sz val="11"/>
        <color theme="1"/>
        <rFont val="FreeSans"/>
        <family val="2"/>
      </rPr>
      <t xml:space="preserve">تذكر الإجابة أن الأثر يعتمد على طريقة الاستخدام، بينما تشير العوائق إلى عدم دقة المعلومات والإجابات والحاجة إلى التحقق منها</t>
    </r>
    <r>
      <rPr>
        <sz val="11"/>
        <color theme="1"/>
        <rFont val="Calibri"/>
        <family val="2"/>
        <charset val="1"/>
      </rPr>
      <t xml:space="preserve">.</t>
    </r>
  </si>
  <si>
    <t xml:space="preserve">The response states that AI can lead to dependency if misused but enhances innovation if used as a supportive tool, so the effect depends on the method of use.</t>
  </si>
  <si>
    <t xml:space="preserve">T2,T3,T4</t>
  </si>
  <si>
    <r>
      <rPr>
        <sz val="11"/>
        <color theme="1"/>
        <rFont val="FreeSans"/>
        <family val="2"/>
      </rPr>
      <t xml:space="preserve">يرى أن الأثر يعتمد على طريقة الاستخدام، وتذكر العوائق ضعف العربية والصرف والإعراب، ونسبة الأبيات أو اختراعها، ومشكلات المصادر والتوثيق</t>
    </r>
    <r>
      <rPr>
        <sz val="11"/>
        <color theme="1"/>
        <rFont val="Calibri"/>
        <family val="2"/>
        <charset val="1"/>
      </rPr>
      <t xml:space="preserve">.</t>
    </r>
  </si>
  <si>
    <t xml:space="preserve">The response states that the outcome depends on the user's method, fostering innovation in one case and dependency in the other.</t>
  </si>
  <si>
    <t xml:space="preserve">The stance explicitly says both outcomes depend on the user’s use and skills, and the barriers mention limited appraisal skill, answer accuracy, and tools oriented toward English rather than Arabic.</t>
  </si>
  <si>
    <t xml:space="preserve">The response states that the outcome can be both, depending on the person's use, experience, and ability to write prompts and verify the output.</t>
  </si>
  <si>
    <r>
      <rPr>
        <sz val="11"/>
        <color theme="1"/>
        <rFont val="FreeSans"/>
        <family val="2"/>
      </rPr>
      <t xml:space="preserve">يرى أن الأثر يعتمد على التدقيق والتحقق من المعلومة، أما العوائق فتتعلق بدقة وموثوقية المعلومات ووجود معلومات خاطئة أو غير ذات صلة</t>
    </r>
    <r>
      <rPr>
        <sz val="11"/>
        <color theme="1"/>
        <rFont val="Calibri"/>
        <family val="2"/>
        <charset val="1"/>
      </rPr>
      <t xml:space="preserve">.</t>
    </r>
  </si>
  <si>
    <t xml:space="preserve">The outcome depends on whether the user verifies the AI's information or not.</t>
  </si>
  <si>
    <r>
      <rPr>
        <sz val="11"/>
        <color theme="1"/>
        <rFont val="FreeSans"/>
        <family val="2"/>
      </rPr>
      <t xml:space="preserve">الاستجابة تقول </t>
    </r>
    <r>
      <rPr>
        <sz val="11"/>
        <color theme="1"/>
        <rFont val="Calibri"/>
        <family val="2"/>
        <charset val="1"/>
      </rPr>
      <t xml:space="preserve">«</t>
    </r>
    <r>
      <rPr>
        <sz val="11"/>
        <color theme="1"/>
        <rFont val="FreeSans"/>
        <family val="2"/>
      </rPr>
      <t xml:space="preserve">كلاهما</t>
    </r>
    <r>
      <rPr>
        <sz val="11"/>
        <color theme="1"/>
        <rFont val="Calibri"/>
        <family val="2"/>
        <charset val="1"/>
      </rPr>
      <t xml:space="preserve">» </t>
    </r>
    <r>
      <rPr>
        <sz val="11"/>
        <color theme="1"/>
        <rFont val="FreeSans"/>
        <family val="2"/>
      </rPr>
      <t xml:space="preserve">فهي شرطية، والحواجز تذكر عدم الدقة وكثرة الأخطاء والمعلومات الخاطئة</t>
    </r>
    <r>
      <rPr>
        <sz val="11"/>
        <color theme="1"/>
        <rFont val="Calibri"/>
        <family val="2"/>
        <charset val="1"/>
      </rPr>
      <t xml:space="preserve">.</t>
    </r>
  </si>
  <si>
    <t xml:space="preserve">The respondent states that AI use leads to both outcomes and complains about inaccurate information and frequent errors.</t>
  </si>
  <si>
    <t xml:space="preserve">The stance explicitly depends on how the individual uses AI, while the barriers mention inaccurate/wrong Arabic output, weak usefulness for grammar, lack of Arabic support in image generation, and faculty refusal of AI use.</t>
  </si>
  <si>
    <t xml:space="preserve">The response states that the outcome depends on how the individual uses AI, leading to dependency with overuse but innovation with appropriate and intelligent use.</t>
  </si>
  <si>
    <t xml:space="preserve">The stance says AI leads more to dependency, and the barriers mention inaccurate information/explanations and inaccurate sources.</t>
  </si>
  <si>
    <t xml:space="preserve">The response states that AI leads to greater dependency and complains about the inaccuracy of information and sources.</t>
  </si>
  <si>
    <t xml:space="preserve">The stance says AI can foster innovation if used correctly but total reliance may weaken creativity, and the barriers mention inaccurate/unreliable answers, nonexistent sources, and limited Arabic support compared with English.</t>
  </si>
  <si>
    <t xml:space="preserve">The outcome depends on how it is used, as correct use can foster innovation while total reliance can weaken personal creativity.</t>
  </si>
  <si>
    <t xml:space="preserve">The response states that AI may promote innovation and individuality in the long run.</t>
  </si>
  <si>
    <t xml:space="preserve">The stance explicitly says AI enhances innovation, while the barrier responses are only punctuation and state no codable barrier.</t>
  </si>
  <si>
    <t xml:space="preserve">The response states that AI enhances innovation.</t>
  </si>
  <si>
    <r>
      <rPr>
        <sz val="11"/>
        <color theme="1"/>
        <rFont val="FreeSans"/>
        <family val="2"/>
      </rPr>
      <t xml:space="preserve">الموقف مشروط لأنه يقول إن الأمر يعتمد على الشخص، والحواجز تتعلق بالإجابات غير الدقيقة والتلخيص المخل بالمعنى</t>
    </r>
    <r>
      <rPr>
        <sz val="11"/>
        <color theme="1"/>
        <rFont val="Calibri"/>
        <family val="2"/>
        <charset val="1"/>
      </rPr>
      <t xml:space="preserve">.</t>
    </r>
  </si>
  <si>
    <t xml:space="preserve">The response states that the outcome depends on the person using the tool.</t>
  </si>
  <si>
    <r>
      <rPr>
        <sz val="11"/>
        <color theme="1"/>
        <rFont val="FreeSans"/>
        <family val="2"/>
      </rPr>
      <t xml:space="preserve">الرد يصرح بالابتكار، والحاجز يذكر عدم التعرف على قواعد العربية وهو ضعف في مجال لغوي عربي</t>
    </r>
    <r>
      <rPr>
        <sz val="11"/>
        <color theme="1"/>
        <rFont val="Calibri"/>
        <family val="2"/>
        <charset val="1"/>
      </rPr>
      <t xml:space="preserve">.</t>
    </r>
  </si>
  <si>
    <t xml:space="preserve">The response states that AI does not recognize Arabic rules and does not provide deep answers.</t>
  </si>
  <si>
    <t xml:space="preserve">The stance response explicitly mentions innovation. The barrier response mentions Arabic rules (T2) and a lack of depth in answers, which constitutes a general quality/accuracy issue (T1).</t>
  </si>
  <si>
    <r>
      <rPr>
        <sz val="11"/>
        <color theme="1"/>
        <rFont val="FreeSans"/>
        <family val="2"/>
      </rPr>
      <t xml:space="preserve">ذكر أن الأمرين معًا وأن الاستخدام يجب أن يكون واعيًا، وذكر عدم الدقة وضعفًا في جوانب اللغة مع الإشارة إلى الإعراب</t>
    </r>
    <r>
      <rPr>
        <sz val="11"/>
        <color theme="1"/>
        <rFont val="Calibri"/>
        <family val="2"/>
        <charset val="1"/>
      </rPr>
      <t xml:space="preserve">.</t>
    </r>
  </si>
  <si>
    <t xml:space="preserve">The response states 'both together' and adds the condition that use must be conscious.</t>
  </si>
  <si>
    <r>
      <rPr>
        <sz val="11"/>
        <color theme="1"/>
        <rFont val="FreeSans"/>
        <family val="2"/>
      </rPr>
      <t xml:space="preserve">الموقف مشروط لأنه يعتمد على عقلية المستخدم، والعوائق تذكر ضعف الذكاء الاصطناعي في العربية وعدم موثوقية مساعدته في الواجب</t>
    </r>
    <r>
      <rPr>
        <sz val="11"/>
        <color theme="1"/>
        <rFont val="Calibri"/>
        <family val="2"/>
        <charset val="1"/>
      </rPr>
      <t xml:space="preserve">.</t>
    </r>
  </si>
  <si>
    <t xml:space="preserve">T1,T2,T7</t>
  </si>
  <si>
    <t xml:space="preserve">The stance is conditional because the outcome depends on the user's mentality, and the barriers are the AI's weak Arabic, its inaccurate homework assistance, and discouragement from the course instructor.</t>
  </si>
  <si>
    <t xml:space="preserve">The stance is conditional as it explicitly depends on the user's mentality. Themes include T2 for the model's weakness in Arabic, T1 for the imprecise result in the assignment, and T7 because the student mentions the professor's discouragement regarding the tool's utility.</t>
  </si>
  <si>
    <t xml:space="preserve">T1,T2,T5</t>
  </si>
  <si>
    <r>
      <rPr>
        <sz val="11"/>
        <color theme="1"/>
        <rFont val="FreeSans"/>
        <family val="2"/>
      </rPr>
      <t xml:space="preserve">الموقف مشروط بنوع الاستخدام، والحواجز تذكر ضعف مهارة كتابة الأوامر، ودقة النتائج في الأدب واللغة العربية، وعدم دقة البيانات والمعلومات عموماً</t>
    </r>
    <r>
      <rPr>
        <sz val="11"/>
        <color theme="1"/>
        <rFont val="Calibri"/>
        <family val="2"/>
        <charset val="1"/>
      </rPr>
      <t xml:space="preserve">.</t>
    </r>
  </si>
  <si>
    <t xml:space="preserve">The outcome depends on the type of individual use, as comprehensive copying leads to dependency.</t>
  </si>
  <si>
    <t xml:space="preserve">The stance is conditional because it explicitly depends on the 'type of individual use' (R-S4). The themes include T1 for inaccuracy, T5 for prompting difficulties, and T2 because the response explicitly names 'literature and the Arabic language' as the domain (R-T2a).</t>
  </si>
  <si>
    <r>
      <rPr>
        <sz val="11"/>
        <color theme="1"/>
        <rFont val="FreeSans"/>
        <family val="2"/>
      </rPr>
      <t xml:space="preserve">الموقف مشروط لأنه يعتمد على استخدام الفرد، والحواجز المذكورة تشمل إجابات خاطئة أو غير موثوقة وتأخر</t>
    </r>
    <r>
      <rPr>
        <sz val="11"/>
        <color theme="1"/>
        <rFont val="Calibri"/>
        <family val="2"/>
        <charset val="1"/>
      </rPr>
      <t xml:space="preserve">/</t>
    </r>
    <r>
      <rPr>
        <sz val="11"/>
        <color theme="1"/>
        <rFont val="FreeSans"/>
        <family val="2"/>
      </rPr>
      <t xml:space="preserve">بطء في توليد الصور والمقاطع والإجابات</t>
    </r>
    <r>
      <rPr>
        <sz val="11"/>
        <color theme="1"/>
        <rFont val="Calibri"/>
        <family val="2"/>
        <charset val="1"/>
      </rPr>
      <t xml:space="preserve">.</t>
    </r>
  </si>
  <si>
    <t xml:space="preserve">The response states that the outcome depends on the individual's use.</t>
  </si>
  <si>
    <t xml:space="preserve">The stance explicitly states dependency, and the barriers describe wrong, incomplete, extra, and unconvincing AI answers requiring verification.</t>
  </si>
  <si>
    <t xml:space="preserve">The stance says AI “enhances” in response to the innovation/dependency question, and the barrier concerns how to formulate content, which indicates prompting or phrasing skill.</t>
  </si>
  <si>
    <t xml:space="preserve">The response states that AI use enhances/fosters, and the barrier is the user's skill in formulating content.</t>
  </si>
  <si>
    <r>
      <rPr>
        <sz val="11"/>
        <color theme="1"/>
        <rFont val="FreeSans"/>
        <family val="2"/>
      </rPr>
      <t xml:space="preserve">الموقف مشروط لأنه يقول إن تعزيز الابتكار يعتمد على المستخدم، والحواجز تشمل عدم فهم المطلوب، عدم دقة المعلومات، وضعف الأداء في الإملاء والإعراب وتحليل العربية</t>
    </r>
    <r>
      <rPr>
        <sz val="11"/>
        <color theme="1"/>
        <rFont val="Calibri"/>
        <family val="2"/>
        <charset val="1"/>
      </rPr>
      <t xml:space="preserve">.</t>
    </r>
  </si>
  <si>
    <t xml:space="preserve">The response states that AI fosters innovation, but clarifies that this outcome depends heavily on the user.</t>
  </si>
  <si>
    <t xml:space="preserve">The stance response is non-responsive, and the barrier response states no barrier.</t>
  </si>
  <si>
    <t xml:space="preserve">The stance response is empty and no barrier is mentioned.</t>
  </si>
  <si>
    <r>
      <rPr>
        <sz val="11"/>
        <color theme="1"/>
        <rFont val="FreeSans"/>
        <family val="2"/>
      </rPr>
      <t xml:space="preserve">وصف الذكاء الاصطناعي بأنه سلاح ذو حدين يدل على موقف مشروط</t>
    </r>
    <r>
      <rPr>
        <sz val="11"/>
        <color theme="1"/>
        <rFont val="Calibri"/>
        <family val="2"/>
        <charset val="1"/>
      </rPr>
      <t xml:space="preserve">/</t>
    </r>
    <r>
      <rPr>
        <sz val="11"/>
        <color theme="1"/>
        <rFont val="FreeSans"/>
        <family val="2"/>
      </rPr>
      <t xml:space="preserve">مزدوج، وذكر أنه غير دقيق يطابق حاجز عدم دقة المخرجات</t>
    </r>
    <r>
      <rPr>
        <sz val="11"/>
        <color theme="1"/>
        <rFont val="Calibri"/>
        <family val="2"/>
        <charset val="1"/>
      </rPr>
      <t xml:space="preserve">.</t>
    </r>
  </si>
  <si>
    <t xml:space="preserve">The respondent states that AI is a double-edged sword.</t>
  </si>
  <si>
    <t xml:space="preserve">The stance explicitly says AI leads to dependency, and the barrier describes difficulty obtaining accurate answers plus fabricated material, indicating unreliable output.</t>
  </si>
  <si>
    <t xml:space="preserve">The response states that AI leads to dependency and that getting accurate answers is a barrier because it often fabricates evidence.</t>
  </si>
  <si>
    <t xml:space="preserve">The stance response explicitly states it leads to dependency. The barrier response mentions inaccuracy (T1) and specifically identifies the fabrication of 'shawahid' (citations/evidence), which falls under T4.</t>
  </si>
  <si>
    <r>
      <rPr>
        <sz val="11"/>
        <color theme="1"/>
        <rFont val="FreeSans"/>
        <family val="2"/>
      </rPr>
      <t xml:space="preserve">الموقف مشروط بحسب طريقة استخدام الطالب، والحواجز تذكر ضعف الدقة عموما وضعف الأداء في العربية والإعراب والتحليل والنحو</t>
    </r>
    <r>
      <rPr>
        <sz val="11"/>
        <color theme="1"/>
        <rFont val="Calibri"/>
        <family val="2"/>
        <charset val="1"/>
      </rPr>
      <t xml:space="preserve">.</t>
    </r>
  </si>
  <si>
    <t xml:space="preserve">The outcome depends on the user and whether they use AI to complete their work or to review and develop their ideas.</t>
  </si>
  <si>
    <t xml:space="preserve">The stance explicitly says AI leads more to dependency, and the barrier response mentions inaccurate information and analysis.</t>
  </si>
  <si>
    <t xml:space="preserve">The response states that AI use leads to greater dependency.</t>
  </si>
  <si>
    <r>
      <rPr>
        <sz val="11"/>
        <color theme="1"/>
        <rFont val="FreeSans"/>
        <family val="2"/>
      </rPr>
      <t xml:space="preserve">الموقف مشروط بزيادة الاستخدام عن الحد، والحواجز هي عدم دقة المعاني، قلة الخبرة التقنية، وعدم توفر أدوات مجانية محترفة</t>
    </r>
    <r>
      <rPr>
        <sz val="11"/>
        <color theme="1"/>
        <rFont val="Calibri"/>
        <family val="2"/>
        <charset val="1"/>
      </rPr>
      <t xml:space="preserve">.</t>
    </r>
  </si>
  <si>
    <t xml:space="preserve">The response makes dependency conditional on the amount of use.</t>
  </si>
  <si>
    <r>
      <rPr>
        <sz val="11"/>
        <color theme="1"/>
        <rFont val="FreeSans"/>
        <family val="2"/>
      </rPr>
      <t xml:space="preserve">الموقف مشروط بطريقة الاستخدام الصحيح، والحواجز تذكر ضعف الذكاء الاصطناعي في القضايا النحوية والصرفية</t>
    </r>
    <r>
      <rPr>
        <sz val="11"/>
        <color theme="1"/>
        <rFont val="Calibri"/>
        <family val="2"/>
        <charset val="1"/>
      </rPr>
      <t xml:space="preserve">.</t>
    </r>
  </si>
  <si>
    <t xml:space="preserve">The response states that AI fosters innovation on the condition that the individual uses it correctly.</t>
  </si>
  <si>
    <t xml:space="preserve">The stance explicitly states dependency, and the barriers mention inaccurate answers especially in literary/poetry analysis.</t>
  </si>
  <si>
    <t xml:space="preserve">The response states that AI use leads to dependency and that it provides inaccurate answers, particularly for the analysis of Omani literature.</t>
  </si>
  <si>
    <t xml:space="preserve">The stance says AI enhances innovation, while the barriers mention lack of reliable sources and weakness in Arabic grammar.</t>
  </si>
  <si>
    <t xml:space="preserve">The stance explicitly says both and depends on the student’s use, while the barriers mention inaccurate information and errors in Arabic grammar rules and explanation.</t>
  </si>
  <si>
    <t xml:space="preserve">The response states both outcomes occur and that it depends on the student's own use.</t>
  </si>
  <si>
    <t xml:space="preserve">The stance is a bare 'both' form, and the barrier says the tool performs badly in Arabic grammar and morphology/derivation.</t>
  </si>
  <si>
    <r>
      <rPr>
        <sz val="11"/>
        <color theme="1"/>
        <rFont val="Calibri"/>
        <family val="2"/>
        <charset val="1"/>
      </rPr>
      <t xml:space="preserve">The stance is conditional because the response states "this and this," and the barrier is the AI's weakness in Arabic grammar (</t>
    </r>
    <r>
      <rPr>
        <sz val="11"/>
        <color theme="1"/>
        <rFont val="FreeSans"/>
        <family val="2"/>
      </rPr>
      <t xml:space="preserve">النحو</t>
    </r>
    <r>
      <rPr>
        <sz val="11"/>
        <color theme="1"/>
        <rFont val="Calibri"/>
        <family val="2"/>
        <charset val="1"/>
      </rPr>
      <t xml:space="preserve">) and derivation (</t>
    </r>
    <r>
      <rPr>
        <sz val="11"/>
        <color theme="1"/>
        <rFont val="FreeSans"/>
        <family val="2"/>
      </rPr>
      <t xml:space="preserve">الاشتقاق</t>
    </r>
    <r>
      <rPr>
        <sz val="11"/>
        <color theme="1"/>
        <rFont val="Calibri"/>
        <family val="2"/>
        <charset val="1"/>
      </rPr>
      <t xml:space="preserve">).</t>
    </r>
  </si>
  <si>
    <r>
      <rPr>
        <sz val="11"/>
        <color theme="1"/>
        <rFont val="FreeSans"/>
        <family val="2"/>
      </rPr>
      <t xml:space="preserve">يرى أن الأثر يعتمد على طريقة الاستخدام بين تعزيز الابتكار أو التسبب في الاعتمادية، ويذكر مشكلات دقة المعلومات والتحليل الخاطئ للأبيات في البلاغة</t>
    </r>
    <r>
      <rPr>
        <sz val="11"/>
        <color theme="1"/>
        <rFont val="Calibri"/>
        <family val="2"/>
        <charset val="1"/>
      </rPr>
      <t xml:space="preserve">.</t>
    </r>
  </si>
  <si>
    <t xml:space="preserve">The outcome depends on the method of use, as using it for deep understanding enhances innovation while using it for speed leads to dependency.</t>
  </si>
  <si>
    <t xml:space="preserve">The response presents AI as a double-edged sword, leading to dependency if the student relies on ready outputs but fostering innovation if used as a research assistant.</t>
  </si>
  <si>
    <t xml:space="preserve">The stance explicitly says AI enhances innovation, while the barrier text only mentions technology vaguely and otherwise says there is no barrier.</t>
  </si>
  <si>
    <t xml:space="preserve">The response states that AI fosters innovation and identifies the general concept of 'technology' as a barrier.</t>
  </si>
  <si>
    <t xml:space="preserve">The stance says AI enhances innovation, while the barriers mention poor understanding of Arabic grammar and lack of accurate sources to verify information.</t>
  </si>
  <si>
    <t xml:space="preserve">The response states that AI use enhances innovation, and lists its weak understanding of the Arabic language and its rules and the lack of accurate sources as barriers.</t>
  </si>
  <si>
    <t xml:space="preserve">The stance says AI leads to dependency and affects thinking independently, while the barriers mention inaccuracy, wrong answers, and weakness in Arabic.</t>
  </si>
  <si>
    <t xml:space="preserve">The response states that AI use is dependency and that the user misses thinking for themselves.</t>
  </si>
  <si>
    <r>
      <rPr>
        <sz val="11"/>
        <color theme="1"/>
        <rFont val="FreeSans"/>
        <family val="2"/>
      </rPr>
      <t xml:space="preserve">الاستجابة للموقف غير واضحة وتقول لا أعلم، بينما العوائق تذكر عدم دقة المعلومات وصعوبة تحديد المطلوب من الذكاء الاصطناعي بدقة</t>
    </r>
    <r>
      <rPr>
        <sz val="11"/>
        <color theme="1"/>
        <rFont val="Calibri"/>
        <family val="2"/>
        <charset val="1"/>
      </rPr>
      <t xml:space="preserve">.</t>
    </r>
  </si>
  <si>
    <t xml:space="preserve">The stance response is "I don't know" which is uncodable, and the barrier response mentions inaccurate information and difficulty in specifying exactly what is wanted from the AI.</t>
  </si>
  <si>
    <r>
      <rPr>
        <sz val="11"/>
        <color theme="1"/>
        <rFont val="FreeSans"/>
        <family val="2"/>
      </rPr>
      <t xml:space="preserve">الاثنين </t>
    </r>
    <r>
      <rPr>
        <sz val="11"/>
        <color theme="1"/>
        <rFont val="Calibri"/>
        <family val="2"/>
        <charset val="1"/>
      </rPr>
      <t xml:space="preserve">is a bare both-form so the stance is conditional, and </t>
    </r>
    <r>
      <rPr>
        <sz val="11"/>
        <color theme="1"/>
        <rFont val="FreeSans"/>
        <family val="2"/>
      </rPr>
      <t xml:space="preserve">عدم دقة المعلومات </t>
    </r>
    <r>
      <rPr>
        <sz val="11"/>
        <color theme="1"/>
        <rFont val="Calibri"/>
        <family val="2"/>
        <charset val="1"/>
      </rPr>
      <t xml:space="preserve">indicates inaccurate or unreliable output.</t>
    </r>
  </si>
  <si>
    <t xml:space="preserve">The respondent states that both dependency and innovation are possible outcomes.</t>
  </si>
  <si>
    <t xml:space="preserve">The stance explicitly says AI causes strong dependency, and the barriers describe unreliable or distorted understanding/analysis.</t>
  </si>
  <si>
    <t xml:space="preserve">The response states that AI use leads strongly to dependency and that it sometimes does not understand the user and produces inaccurate analysis.</t>
  </si>
  <si>
    <r>
      <rPr>
        <sz val="11"/>
        <color theme="1"/>
        <rFont val="Calibri"/>
        <family val="2"/>
        <charset val="1"/>
      </rPr>
      <t xml:space="preserve">The stance clearly states dependency ('</t>
    </r>
    <r>
      <rPr>
        <sz val="11"/>
        <color theme="1"/>
        <rFont val="FreeSans"/>
        <family val="2"/>
      </rPr>
      <t xml:space="preserve">الاعتمادية</t>
    </r>
    <r>
      <rPr>
        <sz val="11"/>
        <color theme="1"/>
        <rFont val="Calibri"/>
        <family val="2"/>
        <charset val="1"/>
      </rPr>
      <t xml:space="preserve">'). For the themes, '</t>
    </r>
    <r>
      <rPr>
        <sz val="11"/>
        <color theme="1"/>
        <rFont val="FreeSans"/>
        <family val="2"/>
      </rPr>
      <t xml:space="preserve">لا يفهم</t>
    </r>
    <r>
      <rPr>
        <sz val="11"/>
        <color theme="1"/>
        <rFont val="Calibri"/>
        <family val="2"/>
        <charset val="1"/>
      </rPr>
      <t xml:space="preserve">' triggers T5 per rule R-T5, and '</t>
    </r>
    <r>
      <rPr>
        <sz val="11"/>
        <color theme="1"/>
        <rFont val="FreeSans"/>
        <family val="2"/>
      </rPr>
      <t xml:space="preserve">يقلب المعاني</t>
    </r>
    <r>
      <rPr>
        <sz val="11"/>
        <color theme="1"/>
        <rFont val="Calibri"/>
        <family val="2"/>
        <charset val="1"/>
      </rPr>
      <t xml:space="preserve">' (distorts meanings) indicates inaccurate output (T1).</t>
    </r>
  </si>
  <si>
    <t xml:space="preserve">The stance says AI enhances innovation and critical thinking, while the barriers describe weak depth in Arabic and weak analysis/explanation of literary texts.</t>
  </si>
  <si>
    <t xml:space="preserve">The user states that AI enhances innovation and critical thinking.</t>
  </si>
  <si>
    <t xml:space="preserve">The stance response explicitly mentions fostering innovation. The barrier response mentions general information quality (T1) as well as specific weaknesses in Arabic language depth and literary text analysis (T2 per rule R-T2a).</t>
  </si>
  <si>
    <r>
      <rPr>
        <sz val="11"/>
        <color theme="1"/>
        <rFont val="FreeSans"/>
        <family val="2"/>
      </rPr>
      <t xml:space="preserve">الموقف مشروط بطريقة الاستخدام؛ والحواجز تتعلق بالموثوقية وباختلاق قصيدة</t>
    </r>
    <r>
      <rPr>
        <sz val="11"/>
        <color theme="1"/>
        <rFont val="Calibri"/>
        <family val="2"/>
        <charset val="1"/>
      </rPr>
      <t xml:space="preserve">/</t>
    </r>
    <r>
      <rPr>
        <sz val="11"/>
        <color theme="1"/>
        <rFont val="FreeSans"/>
        <family val="2"/>
      </rPr>
      <t xml:space="preserve">نص أدبي للإجابة</t>
    </r>
    <r>
      <rPr>
        <sz val="11"/>
        <color theme="1"/>
        <rFont val="Calibri"/>
        <family val="2"/>
        <charset val="1"/>
      </rPr>
      <t xml:space="preserve">.</t>
    </r>
  </si>
  <si>
    <t xml:space="preserve">The outcome depends on whether the tool is used correctly, which fosters innovation, or dependently, which kills creativity.</t>
  </si>
  <si>
    <r>
      <rPr>
        <sz val="11"/>
        <color theme="1"/>
        <rFont val="FreeSans"/>
        <family val="2"/>
      </rPr>
      <t xml:space="preserve">يرى أن الأثر يعتمد على كيفية الاستخدام والغرض منه، وذكر عدم دقة المعلومات أحيانا مع مجال تحليل النصوص والأبيات والبلاغة</t>
    </r>
    <r>
      <rPr>
        <sz val="11"/>
        <color theme="1"/>
        <rFont val="Calibri"/>
        <family val="2"/>
        <charset val="1"/>
      </rPr>
      <t xml:space="preserve">.</t>
    </r>
  </si>
  <si>
    <t xml:space="preserve">The outcome depends on how the user employs the tool, as it can lead to dependency if used for copying or to innovation if used for generating ideas.</t>
  </si>
  <si>
    <t xml:space="preserve">The stance says AI fosters innovation but can cause dependency with wrong uses, and the barriers mention inaccurate information, weak literary/linguistic/i‘rab analysis, and difficulty obtaining reliable sources.</t>
  </si>
  <si>
    <t xml:space="preserve">The outcome depends on usage, as AI can foster innovation or lead to dependency with wrong usage.</t>
  </si>
  <si>
    <t xml:space="preserve">The stance is conditional because it states that AI fosters innovation but can lead to dependency depending on how it is used (usage condition). Themes include T1 (accuracy), T2 (literary analysis and grammar/iʿ rāb), T4 (reliable sources/references), and T5 (difficulty in using the tools for understanding and general answers not meeting specific requirements).</t>
  </si>
  <si>
    <r>
      <rPr>
        <sz val="11"/>
        <color theme="1"/>
        <rFont val="FreeSans"/>
        <family val="2"/>
      </rPr>
      <t xml:space="preserve">الرد على الموقف هو </t>
    </r>
    <r>
      <rPr>
        <sz val="11"/>
        <color theme="1"/>
        <rFont val="Calibri"/>
        <family val="2"/>
        <charset val="1"/>
      </rPr>
      <t xml:space="preserve">«</t>
    </r>
    <r>
      <rPr>
        <sz val="11"/>
        <color theme="1"/>
        <rFont val="FreeSans"/>
        <family val="2"/>
      </rPr>
      <t xml:space="preserve">لا</t>
    </r>
    <r>
      <rPr>
        <sz val="11"/>
        <color theme="1"/>
        <rFont val="Calibri"/>
        <family val="2"/>
        <charset val="1"/>
      </rPr>
      <t xml:space="preserve">» </t>
    </r>
    <r>
      <rPr>
        <sz val="11"/>
        <color theme="1"/>
        <rFont val="FreeSans"/>
        <family val="2"/>
      </rPr>
      <t xml:space="preserve">فقط فهو غير قابل للترميز، بينما ذكر </t>
    </r>
    <r>
      <rPr>
        <sz val="11"/>
        <color theme="1"/>
        <rFont val="Calibri"/>
        <family val="2"/>
        <charset val="1"/>
      </rPr>
      <t xml:space="preserve">«</t>
    </r>
    <r>
      <rPr>
        <sz val="11"/>
        <color theme="1"/>
        <rFont val="FreeSans"/>
        <family val="2"/>
      </rPr>
      <t xml:space="preserve">خطأ في المعلومات</t>
    </r>
    <r>
      <rPr>
        <sz val="11"/>
        <color theme="1"/>
        <rFont val="Calibri"/>
        <family val="2"/>
        <charset val="1"/>
      </rPr>
      <t xml:space="preserve">» </t>
    </r>
    <r>
      <rPr>
        <sz val="11"/>
        <color theme="1"/>
        <rFont val="FreeSans"/>
        <family val="2"/>
      </rPr>
      <t xml:space="preserve">يدل على مخرجات غير دقيقة</t>
    </r>
    <r>
      <rPr>
        <sz val="11"/>
        <color theme="1"/>
        <rFont val="Calibri"/>
        <family val="2"/>
        <charset val="1"/>
      </rPr>
      <t xml:space="preserve">.</t>
    </r>
  </si>
  <si>
    <t xml:space="preserve">The stance is uncodable as a non-responsive word, and the barriers are the difficulty of use and incorrect information.</t>
  </si>
  <si>
    <r>
      <rPr>
        <sz val="11"/>
        <color theme="1"/>
        <rFont val="Calibri"/>
        <family val="2"/>
        <charset val="1"/>
      </rPr>
      <t xml:space="preserve">The stance response '</t>
    </r>
    <r>
      <rPr>
        <sz val="11"/>
        <color theme="1"/>
        <rFont val="FreeSans"/>
        <family val="2"/>
      </rPr>
      <t xml:space="preserve">لا</t>
    </r>
    <r>
      <rPr>
        <sz val="11"/>
        <color theme="1"/>
        <rFont val="Calibri"/>
        <family val="2"/>
        <charset val="1"/>
      </rPr>
      <t xml:space="preserve">' is explicitly listed as uncodable in rule R-S7. The barrier response contains two parts: '</t>
    </r>
    <r>
      <rPr>
        <sz val="11"/>
        <color theme="1"/>
        <rFont val="FreeSans"/>
        <family val="2"/>
      </rPr>
      <t xml:space="preserve">صعوبتها</t>
    </r>
    <r>
      <rPr>
        <sz val="11"/>
        <color theme="1"/>
        <rFont val="Calibri"/>
        <family val="2"/>
        <charset val="1"/>
      </rPr>
      <t xml:space="preserve">' (its difficulty) which corresponds to T5 (user skill/interaction) and '</t>
    </r>
    <r>
      <rPr>
        <sz val="11"/>
        <color theme="1"/>
        <rFont val="FreeSans"/>
        <family val="2"/>
      </rPr>
      <t xml:space="preserve">خطا في المعلومات</t>
    </r>
    <r>
      <rPr>
        <sz val="11"/>
        <color theme="1"/>
        <rFont val="Calibri"/>
        <family val="2"/>
        <charset val="1"/>
      </rPr>
      <t xml:space="preserve">' (error in information) which corresponds to T1.</t>
    </r>
  </si>
  <si>
    <t xml:space="preserve">The stance says dependency, and the barrier states that poetry analysis is incorrect, which is a weak performance in an Arabic literary domain.</t>
  </si>
  <si>
    <t xml:space="preserve">The respondent stated dependency and that AI analyzes poetry incorrectly.</t>
  </si>
  <si>
    <r>
      <rPr>
        <sz val="11"/>
        <color theme="1"/>
        <rFont val="Calibri"/>
        <family val="2"/>
        <charset val="1"/>
      </rPr>
      <t xml:space="preserve">The stance '</t>
    </r>
    <r>
      <rPr>
        <sz val="11"/>
        <color theme="1"/>
        <rFont val="FreeSans"/>
        <family val="2"/>
      </rPr>
      <t xml:space="preserve">الاعتمادية</t>
    </r>
    <r>
      <rPr>
        <sz val="11"/>
        <color theme="1"/>
        <rFont val="Calibri"/>
        <family val="2"/>
        <charset val="1"/>
      </rPr>
      <t xml:space="preserve">' is a direct synonym for dependency. For the themes, '</t>
    </r>
    <r>
      <rPr>
        <sz val="11"/>
        <color theme="1"/>
        <rFont val="FreeSans"/>
        <family val="2"/>
      </rPr>
      <t xml:space="preserve">تحليل الشعر</t>
    </r>
    <r>
      <rPr>
        <sz val="11"/>
        <color theme="1"/>
        <rFont val="Calibri"/>
        <family val="2"/>
        <charset val="1"/>
      </rPr>
      <t xml:space="preserve">' (poetry analysis) is explicitly listed as a T2 domain in rule R-T2a, and since a domain is named, T1 is not required for the accuracy complaint.</t>
    </r>
  </si>
  <si>
    <r>
      <rPr>
        <sz val="11"/>
        <color theme="1"/>
        <rFont val="FreeSans"/>
        <family val="2"/>
      </rPr>
      <t xml:space="preserve">يرى أن الذكاء الاصطناعي يعزز الابتكار، ويذكر كحاجز أنه قد يعطي حلولًا خاطئة حتى في الأسئلة السهلة</t>
    </r>
    <r>
      <rPr>
        <sz val="11"/>
        <color theme="1"/>
        <rFont val="Calibri"/>
        <family val="2"/>
        <charset val="1"/>
      </rPr>
      <t xml:space="preserve">.</t>
    </r>
  </si>
  <si>
    <t xml:space="preserve">The response states that AI enhances innovation because the student relies on themselves to extract information, which helps it become entrenched in their mind.</t>
  </si>
  <si>
    <r>
      <rPr>
        <sz val="11"/>
        <color theme="1"/>
        <rFont val="FreeSans"/>
        <family val="2"/>
      </rPr>
      <t xml:space="preserve">الاستجابة تقول </t>
    </r>
    <r>
      <rPr>
        <sz val="11"/>
        <color theme="1"/>
        <rFont val="Calibri"/>
        <family val="2"/>
        <charset val="1"/>
      </rPr>
      <t xml:space="preserve">«</t>
    </r>
    <r>
      <rPr>
        <sz val="11"/>
        <color theme="1"/>
        <rFont val="FreeSans"/>
        <family val="2"/>
      </rPr>
      <t xml:space="preserve">الاثنان معا</t>
    </r>
    <r>
      <rPr>
        <sz val="11"/>
        <color theme="1"/>
        <rFont val="Calibri"/>
        <family val="2"/>
        <charset val="1"/>
      </rPr>
      <t xml:space="preserve">» </t>
    </r>
    <r>
      <rPr>
        <sz val="11"/>
        <color theme="1"/>
        <rFont val="FreeSans"/>
        <family val="2"/>
      </rPr>
      <t xml:space="preserve">فهي شرطية، والحواجز تصف ضعف الأداة في علوم اللغة العربية مثل النحو والصرف والبلاغة والعروض</t>
    </r>
    <r>
      <rPr>
        <sz val="11"/>
        <color theme="1"/>
        <rFont val="Calibri"/>
        <family val="2"/>
        <charset val="1"/>
      </rPr>
      <t xml:space="preserve">.</t>
    </r>
  </si>
  <si>
    <t xml:space="preserve">The response states 'both together' and that the AI is not knowledgeable in Arabic language sciences like grammar, morphology, rhetoric, and prosody.</t>
  </si>
  <si>
    <r>
      <rPr>
        <sz val="11"/>
        <color theme="1"/>
        <rFont val="FreeSans"/>
        <family val="2"/>
      </rPr>
      <t xml:space="preserve">الموقف هو محايد بلا </t>
    </r>
    <r>
      <rPr>
        <sz val="11"/>
        <color theme="1"/>
        <rFont val="Calibri"/>
        <family val="2"/>
        <charset val="1"/>
      </rPr>
      <t xml:space="preserve">elaboration </t>
    </r>
    <r>
      <rPr>
        <sz val="11"/>
        <color theme="1"/>
        <rFont val="FreeSans"/>
        <family val="2"/>
      </rPr>
      <t xml:space="preserve">لذا غير قابل للترميز، والعوائق تذكر عدم دقة المعلومات ومراجع وهمية وأبيات شعر مبتكرة</t>
    </r>
    <r>
      <rPr>
        <sz val="11"/>
        <color theme="1"/>
        <rFont val="Calibri"/>
        <family val="2"/>
        <charset val="1"/>
      </rPr>
      <t xml:space="preserve">.</t>
    </r>
  </si>
  <si>
    <t xml:space="preserve">The respondent states they are neutral without any elaboration.</t>
  </si>
  <si>
    <r>
      <rPr>
        <sz val="11"/>
        <color theme="1"/>
        <rFont val="FreeSans"/>
        <family val="2"/>
      </rPr>
      <t xml:space="preserve">يرى أن الذكاء الاصطناعي يعزز الابتكار بشرط حسن استخدامه، والحاجز المذكور هو ضعف فهمه للغة العربية</t>
    </r>
    <r>
      <rPr>
        <sz val="11"/>
        <color theme="1"/>
        <rFont val="Calibri"/>
        <family val="2"/>
        <charset val="1"/>
      </rPr>
      <t xml:space="preserve">.</t>
    </r>
  </si>
  <si>
    <t xml:space="preserve">Innovation is conditional on the tool being used well.</t>
  </si>
  <si>
    <t xml:space="preserve">The stance explicitly says AI enhances innovation, and the barrier mentions poetry writing, a literary domain coded as T2.</t>
  </si>
  <si>
    <r>
      <rPr>
        <sz val="11"/>
        <color theme="1"/>
        <rFont val="Calibri"/>
        <family val="2"/>
        <charset val="1"/>
      </rPr>
      <t xml:space="preserve">The stance response explicitly mentions fostering innovation. For the barriers, '</t>
    </r>
    <r>
      <rPr>
        <sz val="11"/>
        <color theme="1"/>
        <rFont val="FreeSans"/>
        <family val="2"/>
      </rPr>
      <t xml:space="preserve">كتابة الشعر</t>
    </r>
    <r>
      <rPr>
        <sz val="11"/>
        <color theme="1"/>
        <rFont val="Calibri"/>
        <family val="2"/>
        <charset val="1"/>
      </rPr>
      <t xml:space="preserve">' falls under T2 per rule R-T2a, and '</t>
    </r>
    <r>
      <rPr>
        <sz val="11"/>
        <color theme="1"/>
        <rFont val="FreeSans"/>
        <family val="2"/>
      </rPr>
      <t xml:space="preserve">المعرفة</t>
    </r>
    <r>
      <rPr>
        <sz val="11"/>
        <color theme="1"/>
        <rFont val="Calibri"/>
        <family val="2"/>
        <charset val="1"/>
      </rPr>
      <t xml:space="preserve">' refers to generic knowledge/accuracy issues which fall under T1.</t>
    </r>
  </si>
  <si>
    <t xml:space="preserve">The stance explicitly says AI leads to dependency, and the barrier mentions possible information accuracy issues.</t>
  </si>
  <si>
    <t xml:space="preserve">The response explicitly states that AI use leads to dependency.</t>
  </si>
  <si>
    <t xml:space="preserve">The stance says AI enhances innovation, and the barrier specifies weakness in Arabic iʿrāb, which falls under Arabic grammar.</t>
  </si>
  <si>
    <t xml:space="preserve">The stance says AI can foster innovation when used as an aid but causes dependency if used as a substitute, and the barriers mention inaccurate handling of Arabic grammar/rhetoric plus hallucinated poetic attribution.</t>
  </si>
  <si>
    <t xml:space="preserve">The outcome depends on whether it is used as an assistant tool for research or as a complete substitute for critical thinking.</t>
  </si>
  <si>
    <t xml:space="preserve">The stance is conditional as it specifies that the outcome depends on the method of use (as a tool vs a substitute). The themes are T2 because it mentions specific Arabic linguistic domains (grammar and rhetoric) and T3 because it mentions attributing poetry to the wrong authors.</t>
  </si>
  <si>
    <t xml:space="preserve">The stance explicitly depends on how AI is used, and the barriers describe difficulty obtaining very accurate information and the model going out of context.</t>
  </si>
  <si>
    <t xml:space="preserve">The response states that the outcome depends on how AI is used and identifies difficulty obtaining accurate information and the AI going off-context as barriers.</t>
  </si>
  <si>
    <t xml:space="preserve">The stance says dependency occurs if a person relies on AI completely without thinking, and the barriers mention inaccurate information and weakness/confusion in Arabic grammar and rhetoric.</t>
  </si>
  <si>
    <t xml:space="preserve">The response states that weakening of skills and innovation is conditional on the user relying on AI completely without thinking.</t>
  </si>
  <si>
    <r>
      <rPr>
        <sz val="11"/>
        <color theme="1"/>
        <rFont val="FreeSans"/>
        <family val="2"/>
      </rPr>
      <t xml:space="preserve">الرد على الموقف يقول لا أعلم فهو غير قابل للترميز، والحاجز المذكور هو عدم الدقة فقط</t>
    </r>
    <r>
      <rPr>
        <sz val="11"/>
        <color theme="1"/>
        <rFont val="Calibri"/>
        <family val="2"/>
        <charset val="1"/>
      </rPr>
      <t xml:space="preserve">.</t>
    </r>
  </si>
  <si>
    <t xml:space="preserve">The stance response is 'I don't know', and the barrier response mentions the inaccuracy of the output.</t>
  </si>
  <si>
    <r>
      <rPr>
        <sz val="11"/>
        <color theme="1"/>
        <rFont val="FreeSans"/>
        <family val="2"/>
      </rPr>
      <t xml:space="preserve">يرى أن الذكاء الاصطناعي يعزز الابتكار، وذكر أن الإجابات غير دقيقة كعائق</t>
    </r>
    <r>
      <rPr>
        <sz val="11"/>
        <color theme="1"/>
        <rFont val="Calibri"/>
        <family val="2"/>
        <charset val="1"/>
      </rPr>
      <t xml:space="preserve">.</t>
    </r>
  </si>
  <si>
    <t xml:space="preserve">The response states that AI fosters innovation and that its answers are inaccurate.</t>
  </si>
  <si>
    <t xml:space="preserve">The stance explicitly says both and depends on method of use, while the barriers mention inaccurate/wrong information, errors in explaining verses and iʿrāb, and failure to provide Arabic sources.</t>
  </si>
  <si>
    <t xml:space="preserve">The response states 'both' and that the outcome is dependent on the method of use.</t>
  </si>
  <si>
    <t xml:space="preserve">The stance depends on the individual and correct use, while the barriers mention weak Arabic/poetry analysis, incorrect or misleading output, and limited free access.</t>
  </si>
  <si>
    <t xml:space="preserve">The outcome depends on the individual and whether they use the tool correctly, which can lead to innovation.</t>
  </si>
  <si>
    <r>
      <rPr>
        <sz val="11"/>
        <color theme="1"/>
        <rFont val="FreeSans"/>
        <family val="2"/>
      </rPr>
      <t xml:space="preserve">وصفه بأنه سلاح ذو حدين يدل على موقف مشروط</t>
    </r>
    <r>
      <rPr>
        <sz val="11"/>
        <color theme="1"/>
        <rFont val="Calibri"/>
        <family val="2"/>
        <charset val="1"/>
      </rPr>
      <t xml:space="preserve">/</t>
    </r>
    <r>
      <rPr>
        <sz val="11"/>
        <color theme="1"/>
        <rFont val="FreeSans"/>
        <family val="2"/>
      </rPr>
      <t xml:space="preserve">مزدوج، وذكر عدم دقة المعلومات واختلاق أبيات</t>
    </r>
    <r>
      <rPr>
        <sz val="11"/>
        <color theme="1"/>
        <rFont val="Calibri"/>
        <family val="2"/>
        <charset val="1"/>
      </rPr>
      <t xml:space="preserve">.</t>
    </r>
  </si>
  <si>
    <t xml:space="preserve">The response uses the idiom 'a double-edged sword,' indicating that the outcome has both positive and negative sides.</t>
  </si>
  <si>
    <t xml:space="preserve">The stance explicitly says AI enhances innovation and individuality, while the barriers mention inaccurate information and non-existent poetic verses.</t>
  </si>
  <si>
    <t xml:space="preserve">The user states that AI enhances innovation and individuality, but complains that the information is inaccurate and the poetry verses are non-existent.</t>
  </si>
  <si>
    <t xml:space="preserve">The stance says the outcome depends on the student, and the barrier is that the tool does not understand what the respondent wants to convey.</t>
  </si>
  <si>
    <t xml:space="preserve">The response states that the outcome depends on the student.</t>
  </si>
  <si>
    <t xml:space="preserve">The stance explicitly says AI enhances innovation and individuality, and the barrier mentions limited use of images, which is a technical/usage limit.</t>
  </si>
  <si>
    <r>
      <rPr>
        <sz val="11"/>
        <color theme="1"/>
        <rFont val="FreeSans"/>
        <family val="2"/>
      </rPr>
      <t xml:space="preserve">الموقف مشروط لأنه يذكر أن بعض الطلاب يتكلون عليه وبعضهم يستخدمونه للإبداع، والحواجز تتعلق بإجابات خاطئة وضعف في المعلومات الأدبية واللغوية</t>
    </r>
    <r>
      <rPr>
        <sz val="11"/>
        <color theme="1"/>
        <rFont val="Calibri"/>
        <family val="2"/>
        <charset val="1"/>
      </rPr>
      <t xml:space="preserve">.</t>
    </r>
  </si>
  <si>
    <t xml:space="preserve">The response states that the outcome differs from one student to another, as some rely on it while others use it as a tool for creativity.</t>
  </si>
  <si>
    <t xml:space="preserve">The stance explicitly states dependency, and the barrier reports inaccurate information while the second part is non-substantive.</t>
  </si>
  <si>
    <t xml:space="preserve">The response explicitly states dependency.</t>
  </si>
  <si>
    <t xml:space="preserve">The stance explicitly says AI enhances innovation and individuality, while the barriers mention many errors and weakness with linguistic phenomena.</t>
  </si>
  <si>
    <t xml:space="preserve">The response states that AI enhances innovation and individuality.</t>
  </si>
  <si>
    <r>
      <rPr>
        <sz val="11"/>
        <color theme="1"/>
        <rFont val="FreeSans"/>
        <family val="2"/>
      </rPr>
      <t xml:space="preserve">الموقف مشروط لأنه يعتمد على كيفية الاستخدام، والعوائق تذكر دقة الإجابات، ندرة المراجع الموثوقة، والفشل في حل سؤال نحوي بشكل صحيح</t>
    </r>
    <r>
      <rPr>
        <sz val="11"/>
        <color theme="1"/>
        <rFont val="Calibri"/>
        <family val="2"/>
        <charset val="1"/>
      </rPr>
      <t xml:space="preserve">.</t>
    </r>
  </si>
  <si>
    <t xml:space="preserve">The response explicitly states that the outcome depends on the method of use.</t>
  </si>
  <si>
    <t xml:space="preserve">The stance explicitly says AI leads to dependency, and the barrier is the respondent's inability to judge whether the answer is correct or wrong.</t>
  </si>
  <si>
    <t xml:space="preserve">The response explicitly states AI leads to dependency and that the user is unable to judge the correctness of the AI's answer.</t>
  </si>
  <si>
    <r>
      <rPr>
        <sz val="11"/>
        <color theme="1"/>
        <rFont val="FreeSans"/>
        <family val="2"/>
      </rPr>
      <t xml:space="preserve">الاستجابة تصرّح بالاعتمادية، وتذكر عدم الدقة خاصة في الإعراب والبلاغة</t>
    </r>
    <r>
      <rPr>
        <sz val="11"/>
        <color theme="1"/>
        <rFont val="Calibri"/>
        <family val="2"/>
        <charset val="1"/>
      </rPr>
      <t xml:space="preserve">.</t>
    </r>
  </si>
  <si>
    <t xml:space="preserve">The stance is the single word 'dependency', and the barriers are AI's inaccuracy (T1), especially in the Arabic domains of iʿrāb and rhetoric (T2).</t>
  </si>
  <si>
    <t xml:space="preserve">The stance says AI enhances innovation, while the barriers mention unreliable/inaccurate information and inaccurate Arabic parsing/explanation in grammar and rhetoric.</t>
  </si>
  <si>
    <t xml:space="preserve">The user states that AI enhances innovation.</t>
  </si>
  <si>
    <t xml:space="preserve">The response states that AI fosters innovation and individuality, but this is conditional upon using it within permitted bounds.</t>
  </si>
  <si>
    <t xml:space="preserve">The stance explicitly says AI fosters innovation, and the barrier cites confusion in Arabic grammar, rhetoric, and morphology.</t>
  </si>
  <si>
    <t xml:space="preserve">The user states that AI fosters innovation.</t>
  </si>
  <si>
    <t xml:space="preserve">The stance explicitly says both and depends on the individual, while the barriers mention inaccurate or wrong AI information.</t>
  </si>
  <si>
    <t xml:space="preserve">The response states 'both together' and that the outcome depends on the individual user.</t>
  </si>
  <si>
    <r>
      <rPr>
        <sz val="11"/>
        <color theme="1"/>
        <rFont val="FreeSans"/>
        <family val="2"/>
      </rPr>
      <t xml:space="preserve">يرى أن الأثر يعتمد على طريقة الاستخدام، وذكر مشكلات دقة المعلومات والمراجع الوهمية ودعم معظم البرامج للإنجليزية أكثر من العربية</t>
    </r>
    <r>
      <rPr>
        <sz val="11"/>
        <color theme="1"/>
        <rFont val="Calibri"/>
        <family val="2"/>
        <charset val="1"/>
      </rPr>
      <t xml:space="preserve">.</t>
    </r>
  </si>
  <si>
    <t xml:space="preserve">The outcome depends on the user, as complete reliance leads to dependency while using it as an aid for ideas fosters innovation.</t>
  </si>
  <si>
    <t xml:space="preserve">The stance explicitly says AI leads to dependency, and the barrier mentions incorrect iʿrāb, an Arabic grammar issue.</t>
  </si>
  <si>
    <t xml:space="preserve">The user states that AI leads to dependency.</t>
  </si>
  <si>
    <t xml:space="preserve">The stance says AI can cause dependency with excessive use but can also enhance innovation, and the barriers mention unreliable information plus weak handling of poetry, rhetoric, grammar, and morphology.</t>
  </si>
  <si>
    <t xml:space="preserve">The outcome depends on the manner of use, as overuse can lead to dependency while using it for ideas can enhance innovation.</t>
  </si>
  <si>
    <t xml:space="preserve">The stance says AI fosters innovation, while the barrier response reports incorrect or wrong outputs.</t>
  </si>
  <si>
    <t xml:space="preserve">The response states that AI fosters innovation, and complains that its solutions and information are sometimes wrong.</t>
  </si>
  <si>
    <t xml:space="preserve">The stance says AI has both roles, and the barrier cites information not being fully correct and differing opinions, indicating unreliable output.</t>
  </si>
  <si>
    <t xml:space="preserve">The respondent is neutral because AI has both roles.</t>
  </si>
  <si>
    <r>
      <rPr>
        <sz val="11"/>
        <color theme="1"/>
        <rFont val="FreeSans"/>
        <family val="2"/>
      </rPr>
      <t xml:space="preserve">الرد في الموقف يقول إنه يعزز، وحاجز البلاغة يدل على ضعف في مجال لغوي</t>
    </r>
    <r>
      <rPr>
        <sz val="11"/>
        <color theme="1"/>
        <rFont val="Calibri"/>
        <family val="2"/>
        <charset val="1"/>
      </rPr>
      <t xml:space="preserve">/</t>
    </r>
    <r>
      <rPr>
        <sz val="11"/>
        <color theme="1"/>
        <rFont val="FreeSans"/>
        <family val="2"/>
      </rPr>
      <t xml:space="preserve">أدبي عربي</t>
    </r>
    <r>
      <rPr>
        <sz val="11"/>
        <color theme="1"/>
        <rFont val="Calibri"/>
        <family val="2"/>
        <charset val="1"/>
      </rPr>
      <t xml:space="preserve">.</t>
    </r>
  </si>
  <si>
    <t xml:space="preserve">The response states that AI use enhances, which implies it fosters innovation.</t>
  </si>
  <si>
    <t xml:space="preserve">The stance says AI enhances dependency, and the barrier states that it does not provide the precise answer or information desired.</t>
  </si>
  <si>
    <t xml:space="preserve">The response states that AI use promotes dependency.</t>
  </si>
  <si>
    <r>
      <rPr>
        <sz val="11"/>
        <color theme="1"/>
        <rFont val="FreeSans"/>
        <family val="2"/>
      </rPr>
      <t xml:space="preserve">الرد يصرح بالاعتماد، ويذكر أخطاء جسيمة عامة مع أخطاء إعرابية تخص العربية</t>
    </r>
    <r>
      <rPr>
        <sz val="11"/>
        <color theme="1"/>
        <rFont val="Calibri"/>
        <family val="2"/>
        <charset val="1"/>
      </rPr>
      <t xml:space="preserve">.</t>
    </r>
  </si>
  <si>
    <t xml:space="preserve">The response states 'dependency' and identifies gross errors and grammatical (i'rāb) errors as barriers.</t>
  </si>
  <si>
    <t xml:space="preserve">The stance explicitly states dependency, and the barriers mention inaccuracy plus a weakness in rhetoric, an Arabic linguistic/literary domain.</t>
  </si>
  <si>
    <t xml:space="preserve">The response states AI leads to dependency and that its output is inaccurate and weak in rhetoric.</t>
  </si>
  <si>
    <r>
      <rPr>
        <sz val="11"/>
        <color theme="1"/>
        <rFont val="FreeSans"/>
        <family val="2"/>
      </rPr>
      <t xml:space="preserve">يرى أن الذكاء الاصطناعي قد يؤدي إلى الاعتمادية أحيانًا، ويذكر عدم دقة الإجابات وأخطاء في إعراب حروف المعاني</t>
    </r>
    <r>
      <rPr>
        <sz val="11"/>
        <color theme="1"/>
        <rFont val="Calibri"/>
        <family val="2"/>
        <charset val="1"/>
      </rPr>
      <t xml:space="preserve">.</t>
    </r>
  </si>
  <si>
    <t xml:space="preserve">The response states that AI use may sometimes lead to dependency.</t>
  </si>
  <si>
    <t xml:space="preserve">The stance says AI leads to dependency, and the barrier mentions inaccurate information while the other part states no challenges.</t>
  </si>
  <si>
    <t xml:space="preserve">It leads to dependency.</t>
  </si>
  <si>
    <t xml:space="preserve">The stance says dependency is slight and depends on usage, while the barriers complain generally about content accuracy and imprecision.</t>
  </si>
  <si>
    <t xml:space="preserve">The stance is conditional because the outcome depends on usage, and the barrier is the lack of accuracy in the content.</t>
  </si>
  <si>
    <r>
      <rPr>
        <sz val="11"/>
        <color theme="1"/>
        <rFont val="FreeSans"/>
        <family val="2"/>
      </rPr>
      <t xml:space="preserve">الموقف مشروط لأنه يقول إن الأمر يعتمد على الشخص، أما العائق المذكور فهو الثقة الزائدة بالذكاء الاصطناعي وإفساد العقل وهو خارج رموز العوائق المحددة</t>
    </r>
    <r>
      <rPr>
        <sz val="11"/>
        <color theme="1"/>
        <rFont val="Calibri"/>
        <family val="2"/>
        <charset val="1"/>
      </rPr>
      <t xml:space="preserve">.</t>
    </r>
  </si>
  <si>
    <t xml:space="preserve">The outcome depends on the person using the tool.</t>
  </si>
  <si>
    <r>
      <rPr>
        <sz val="11"/>
        <color theme="1"/>
        <rFont val="FreeSans"/>
        <family val="2"/>
      </rPr>
      <t xml:space="preserve">ال</t>
    </r>
    <r>
      <rPr>
        <sz val="11"/>
        <color theme="1"/>
        <rFont val="Calibri"/>
        <family val="2"/>
        <charset val="1"/>
      </rPr>
      <t xml:space="preserve">stance </t>
    </r>
    <r>
      <rPr>
        <sz val="11"/>
        <color theme="1"/>
        <rFont val="FreeSans"/>
        <family val="2"/>
      </rPr>
      <t xml:space="preserve">هو مجرد </t>
    </r>
    <r>
      <rPr>
        <sz val="11"/>
        <color theme="1"/>
        <rFont val="Calibri"/>
        <family val="2"/>
        <charset val="1"/>
      </rPr>
      <t xml:space="preserve">«</t>
    </r>
    <r>
      <rPr>
        <sz val="11"/>
        <color theme="1"/>
        <rFont val="FreeSans"/>
        <family val="2"/>
      </rPr>
      <t xml:space="preserve">لا</t>
    </r>
    <r>
      <rPr>
        <sz val="11"/>
        <color theme="1"/>
        <rFont val="Calibri"/>
        <family val="2"/>
        <charset val="1"/>
      </rPr>
      <t xml:space="preserve">» </t>
    </r>
    <r>
      <rPr>
        <sz val="11"/>
        <color theme="1"/>
        <rFont val="FreeSans"/>
        <family val="2"/>
      </rPr>
      <t xml:space="preserve">غير قابل للترميز، والحاجز يذكر أن الإجابات غير دقيقة</t>
    </r>
    <r>
      <rPr>
        <sz val="11"/>
        <color theme="1"/>
        <rFont val="Calibri"/>
        <family val="2"/>
        <charset val="1"/>
      </rPr>
      <t xml:space="preserve">.</t>
    </r>
  </si>
  <si>
    <t xml:space="preserve">The stance response 'no' is non-responsive, and the barrier response states that the AI's answers are inaccurate.</t>
  </si>
  <si>
    <t xml:space="preserve">The stance says AI is beneficial if used in a certain way, while the barriers mention content accuracy, weak phrasing, unverifiable quotations/verses, and weak sources.</t>
  </si>
  <si>
    <t xml:space="preserve">The response calls AI a double-edged sword whose benefit is conditional on being used in a specific way, such as for generating ideas.</t>
  </si>
  <si>
    <r>
      <rPr>
        <sz val="11"/>
        <color theme="1"/>
        <rFont val="Calibri"/>
        <family val="2"/>
        <charset val="1"/>
      </rPr>
      <t xml:space="preserve">The stance is conditional because it uses the phrase 'double-edged sword' and specifies a condition of use ('if used in a way...'). For the themes, T3 is required because the respondent explicitly mentions difficulty verifying poetic verses (</t>
    </r>
    <r>
      <rPr>
        <sz val="11"/>
        <color theme="1"/>
        <rFont val="FreeSans"/>
        <family val="2"/>
      </rPr>
      <t xml:space="preserve">الأبيات الشعرية</t>
    </r>
    <r>
      <rPr>
        <sz val="11"/>
        <color theme="1"/>
        <rFont val="Calibri"/>
        <family val="2"/>
        <charset val="1"/>
      </rPr>
      <t xml:space="preserve">).</t>
    </r>
  </si>
  <si>
    <t xml:space="preserve">The stance says AI fosters innovation only if it is not relied on, and the barriers cite weak Arabic ability plus fabricated books/references.</t>
  </si>
  <si>
    <t xml:space="preserve">The response states that AI fosters innovation on the condition that the user does not depend on it.</t>
  </si>
  <si>
    <t xml:space="preserve">The stance response is non-responsive, and both barrier fields contain only '-' so no codable barrier is stated.</t>
  </si>
  <si>
    <t xml:space="preserve">The responses are empty, expressing no stance and stating no barriers.</t>
  </si>
  <si>
    <r>
      <rPr>
        <sz val="11"/>
        <color theme="1"/>
        <rFont val="FreeSans"/>
        <family val="2"/>
      </rPr>
      <t xml:space="preserve">الاستجابة تصرح بكلاهما وتربط الاعتماد أو تعزيز التفكير بطريقة الاستخدام، والحاجز المذكور هو معلومات غير دقيقة وغير موثوقة</t>
    </r>
    <r>
      <rPr>
        <sz val="11"/>
        <color theme="1"/>
        <rFont val="Calibri"/>
        <family val="2"/>
        <charset val="1"/>
      </rPr>
      <t xml:space="preserve">.</t>
    </r>
  </si>
  <si>
    <t xml:space="preserve">The response states that students might depend on AI for ideas, but it also enhances their thinking and research methods.</t>
  </si>
  <si>
    <r>
      <rPr>
        <sz val="11"/>
        <color theme="1"/>
        <rFont val="FreeSans"/>
        <family val="2"/>
      </rPr>
      <t xml:space="preserve">الرد يصرح بأن استخدام الذكاء الاصطناعي يؤدي إلى الاعتمادية، ولا يذكر أي حاجز محدد سوى عدم المعرفة أو عدم الاستخدام</t>
    </r>
    <r>
      <rPr>
        <sz val="11"/>
        <color theme="1"/>
        <rFont val="Calibri"/>
        <family val="2"/>
        <charset val="1"/>
      </rPr>
      <t xml:space="preserve">.</t>
    </r>
  </si>
  <si>
    <t xml:space="preserve">The response explicitly states that AI leads to dependency.</t>
  </si>
  <si>
    <r>
      <rPr>
        <sz val="11"/>
        <color theme="1"/>
        <rFont val="FreeSans"/>
        <family val="2"/>
      </rPr>
      <t xml:space="preserve">الموقف مشروط بطريقة استخدام الطالب للذكاء الاصطناعي، والحاجز المذكور هو عدم دقة المعلومات</t>
    </r>
    <r>
      <rPr>
        <sz val="11"/>
        <color theme="1"/>
        <rFont val="Calibri"/>
        <family val="2"/>
        <charset val="1"/>
      </rPr>
      <t xml:space="preserve">.</t>
    </r>
  </si>
  <si>
    <t xml:space="preserve">The response states that the outcome depends on the student's method of use, distinguishing between taking material ready-made and taking ideas for research.</t>
  </si>
  <si>
    <t xml:space="preserve">The stance is a bare 'both' form, while the barrier response states no barriers in both parts.</t>
  </si>
  <si>
    <t xml:space="preserve">The response states 'both things together', which is defined as conditional by rule R-S1.</t>
  </si>
  <si>
    <t xml:space="preserve">The stance explicitly says AI enhances innovation and individuality, while the barriers mention inaccurate information and inability to analyze a verse prosodically, an Arabic literary/linguistic domain.</t>
  </si>
  <si>
    <r>
      <rPr>
        <sz val="11"/>
        <color theme="1"/>
        <rFont val="FreeSans"/>
        <family val="2"/>
      </rPr>
      <t xml:space="preserve">الموقف مشروط بحسب الشخص، والحاجز المذكور هو عدم موثوقية الإجابات ووجود معلومات خاطئة</t>
    </r>
    <r>
      <rPr>
        <sz val="11"/>
        <color theme="1"/>
        <rFont val="Calibri"/>
        <family val="2"/>
        <charset val="1"/>
      </rPr>
      <t xml:space="preserve">.</t>
    </r>
  </si>
  <si>
    <t xml:space="preserve">The outcome of AI use depends on the person using it.</t>
  </si>
  <si>
    <r>
      <rPr>
        <sz val="11"/>
        <color theme="1"/>
        <rFont val="FreeSans"/>
        <family val="2"/>
      </rPr>
      <t xml:space="preserve">يرى أن الابتكار يتحقق بشرط ضبط الاستخدام، ويذكر كعوائق الباقات المدفوعة وحدود الرصيد، وعدم دقة الإجابة خصوصا في النحو والإعراب</t>
    </r>
    <r>
      <rPr>
        <sz val="11"/>
        <color theme="1"/>
        <rFont val="Calibri"/>
        <family val="2"/>
        <charset val="1"/>
      </rPr>
      <t xml:space="preserve">.</t>
    </r>
  </si>
  <si>
    <t xml:space="preserve">The response states that AI fosters innovation on the condition that its use is controlled to enhance productivity.</t>
  </si>
  <si>
    <r>
      <rPr>
        <sz val="11"/>
        <color theme="1"/>
        <rFont val="FreeSans"/>
        <family val="2"/>
      </rPr>
      <t xml:space="preserve">العبارة تقول </t>
    </r>
    <r>
      <rPr>
        <sz val="11"/>
        <color theme="1"/>
        <rFont val="Calibri"/>
        <family val="2"/>
        <charset val="1"/>
      </rPr>
      <t xml:space="preserve">«</t>
    </r>
    <r>
      <rPr>
        <sz val="11"/>
        <color theme="1"/>
        <rFont val="FreeSans"/>
        <family val="2"/>
      </rPr>
      <t xml:space="preserve">الاثنين معا</t>
    </r>
    <r>
      <rPr>
        <sz val="11"/>
        <color theme="1"/>
        <rFont val="Calibri"/>
        <family val="2"/>
        <charset val="1"/>
      </rPr>
      <t xml:space="preserve">» </t>
    </r>
    <r>
      <rPr>
        <sz val="11"/>
        <color theme="1"/>
        <rFont val="FreeSans"/>
        <family val="2"/>
      </rPr>
      <t xml:space="preserve">فتدل على موقف مشروط، وتذكر معلومات خاطئة مع صعوبة فهم ما يريده المستخدم</t>
    </r>
    <r>
      <rPr>
        <sz val="11"/>
        <color theme="1"/>
        <rFont val="Calibri"/>
        <family val="2"/>
        <charset val="1"/>
      </rPr>
      <t xml:space="preserve">.</t>
    </r>
  </si>
  <si>
    <t xml:space="preserve">The respondent states that AI use leads to both dependency and innovation.</t>
  </si>
  <si>
    <t xml:space="preserve">The stance explicitly points to dependency, and the barrier says AI cannot perform the required task correctly, indicating unreliable output.</t>
  </si>
  <si>
    <t xml:space="preserve">The stance explicitly says innovation, and the barriers mention paid programs and lack of Arabic support.</t>
  </si>
  <si>
    <t xml:space="preserve">The response states AI leads to innovation, but barriers are the cost of some programs and that some are not supported in Arabic.</t>
  </si>
  <si>
    <r>
      <rPr>
        <sz val="11"/>
        <color theme="1"/>
        <rFont val="FreeSans"/>
        <family val="2"/>
      </rPr>
      <t xml:space="preserve">الموقف مشروط لأنه يعتمد على المستخدم وطريقة الاستغلال، والحاجز المذكور هو قلة معرفة الطالب بالبرامج المناسبة وكيفية توظيفها</t>
    </r>
    <r>
      <rPr>
        <sz val="11"/>
        <color theme="1"/>
        <rFont val="Calibri"/>
        <family val="2"/>
        <charset val="1"/>
      </rPr>
      <t xml:space="preserve">.</t>
    </r>
  </si>
  <si>
    <t xml:space="preserve">The response states that the outcome depends on the user and their method of using the tool.</t>
  </si>
  <si>
    <r>
      <rPr>
        <sz val="11"/>
        <color theme="1"/>
        <rFont val="FreeSans"/>
        <family val="2"/>
      </rPr>
      <t xml:space="preserve">تذكر الإجابة أن الاعتماد الكلي يضعف التفكير والإبداع لكنها تؤكد أن الذكاء الاصطناعي يعزز الابتكار إذا استُخدم بالطريقة الصحيحة وبحدود معقولة، وتصف العائق بأنه ضعف أدوات الذكاء الاصطناعي في اللغة العربية</t>
    </r>
    <r>
      <rPr>
        <sz val="11"/>
        <color theme="1"/>
        <rFont val="Calibri"/>
        <family val="2"/>
        <charset val="1"/>
      </rPr>
      <t xml:space="preserve">.</t>
    </r>
  </si>
  <si>
    <t xml:space="preserve">The outcome depends on the method of use, as total reliance on AI kills creativity and thinking, while it can enhance innovation if used correctly and in moderation.</t>
  </si>
  <si>
    <t xml:space="preserve">The stance frames innovation as occurring through user-created instructions, while the barriers cite inaccurate information and poor analysis of poems.</t>
  </si>
  <si>
    <t xml:space="preserve">The response states that AI leads to innovation through the instructions created by the user.</t>
  </si>
  <si>
    <t xml:space="preserve">The stance is conditional because it states innovation is achieved specifically through instructions (a usage condition, R-S4). The themes are T1 for inaccurate info and T2 for failure in poem analysis (a literary domain, R-T2a).</t>
  </si>
  <si>
    <r>
      <rPr>
        <sz val="11"/>
        <color theme="1"/>
        <rFont val="FreeSans"/>
        <family val="2"/>
      </rPr>
      <t xml:space="preserve">يرى أن الأثر يعتمد على الموازنة في الاستخدام، والحاجز المذكور هو أن الأداة لا تفهم ما يريده المستخدم</t>
    </r>
    <r>
      <rPr>
        <sz val="11"/>
        <color theme="1"/>
        <rFont val="Calibri"/>
        <family val="2"/>
        <charset val="1"/>
      </rPr>
      <t xml:space="preserve">.</t>
    </r>
  </si>
  <si>
    <t xml:space="preserve">The response states that the outcome depends on usage and that it is good to balance its use.</t>
  </si>
  <si>
    <t xml:space="preserve">The stance explicitly says AI enhances individuality, and the barriers mention inaccurate information plus inaccurate iʿrāb/Arabic grammar output.</t>
  </si>
  <si>
    <t xml:space="preserve">The response states that AI helps find solutions to unknown questions faster and easier, which enhances individuality.</t>
  </si>
  <si>
    <r>
      <rPr>
        <sz val="11"/>
        <color theme="1"/>
        <rFont val="FreeSans"/>
        <family val="2"/>
      </rPr>
      <t xml:space="preserve">الموقف مشروط بحسب سياق توظيف الذكاء الاصطناعي مع ذكر الاعتماد أحيانًا، والحاجز المذكور هو عدم موثوقية البيانات وعدم القدرة على الاعتماد عليها</t>
    </r>
    <r>
      <rPr>
        <sz val="11"/>
        <color theme="1"/>
        <rFont val="Calibri"/>
        <family val="2"/>
        <charset val="1"/>
      </rPr>
      <t xml:space="preserve">.</t>
    </r>
  </si>
  <si>
    <t xml:space="preserve">The response states that the outcome depends on the situation in which AI is used, while also noting a personal tendency towards dependency.</t>
  </si>
  <si>
    <t xml:space="preserve">The stance explicitly says both sides and that the outcome depends on how the individual uses AI, while the barriers mention unreliable incorrect data and wrong volume/page information.</t>
  </si>
  <si>
    <t xml:space="preserve">The response states both sides are possible and that the outcome is governed by the individual's method of use.</t>
  </si>
  <si>
    <t xml:space="preserve">The stance says AI helps with brainstorming and deepening ideas, while the barrier is lack of information on how to use each tool.</t>
  </si>
  <si>
    <t xml:space="preserve">The response states that AI helps with brainstorming and deepening ideas.</t>
  </si>
  <si>
    <r>
      <rPr>
        <sz val="11"/>
        <color theme="1"/>
        <rFont val="FreeSans"/>
        <family val="2"/>
      </rPr>
      <t xml:space="preserve">يرى أن الذكاء الاصطناعي يعزز الابتكار، بينما تشير العوائق إلى ضعف في الإعراب ومشكلات في تحديد أرقام الصفحات</t>
    </r>
    <r>
      <rPr>
        <sz val="11"/>
        <color theme="1"/>
        <rFont val="Calibri"/>
        <family val="2"/>
        <charset val="1"/>
      </rPr>
      <t xml:space="preserve">.</t>
    </r>
  </si>
  <si>
    <t xml:space="preserve">The response states that AI promotes innovation and individual thinking.</t>
  </si>
  <si>
    <r>
      <rPr>
        <sz val="11"/>
        <color theme="1"/>
        <rFont val="FreeSans"/>
        <family val="2"/>
      </rPr>
      <t xml:space="preserve">الموقف مشروط بهدف المستخدم وطريقة الاستخدام، والحاجز المذكور هو العبث في الاستشهادات الشعرية ونسبتها أو اختلاقها</t>
    </r>
    <r>
      <rPr>
        <sz val="11"/>
        <color theme="1"/>
        <rFont val="Calibri"/>
        <family val="2"/>
        <charset val="1"/>
      </rPr>
      <t xml:space="preserve">.</t>
    </r>
  </si>
  <si>
    <t xml:space="preserve">The outcome depends on the user's goal and method of use, as it does not foster innovation if not fed with good material.</t>
  </si>
  <si>
    <t xml:space="preserve">The stance explicitly says AI leads to dependency, and the barriers mention wrong answers plus failure in a grammar assignment.</t>
  </si>
  <si>
    <t xml:space="preserve">The user states that AI use leads to dependency.</t>
  </si>
  <si>
    <t xml:space="preserve">The stance states dependency, and the barriers mention weak Arabic ability, inaccurate answers, lack of suitable Arabic-focused tools, and irrelevant sources for a research topic.</t>
  </si>
  <si>
    <t xml:space="preserve">The response explicitly states dependency and mentions that AI lacks accuracy, has weak knowledge of Arabic, provides irrelevant sources, and that there are few tools available to serve students of Arabic.</t>
  </si>
  <si>
    <t xml:space="preserve">The stance says the outcome depends on the individual's use, and the barriers cite lack of accurate Arabic-supporting tools plus inaccurate answers.</t>
  </si>
  <si>
    <t xml:space="preserve">The outcome depends on the individual's use.</t>
  </si>
  <si>
    <r>
      <rPr>
        <sz val="11"/>
        <color theme="1"/>
        <rFont val="Calibri"/>
        <family val="2"/>
        <charset val="1"/>
      </rPr>
      <t xml:space="preserve">The stance response is only </t>
    </r>
    <r>
      <rPr>
        <sz val="11"/>
        <color theme="1"/>
        <rFont val="FreeSans"/>
        <family val="2"/>
      </rPr>
      <t xml:space="preserve">نعم </t>
    </r>
    <r>
      <rPr>
        <sz val="11"/>
        <color theme="1"/>
        <rFont val="Calibri"/>
        <family val="2"/>
        <charset val="1"/>
      </rPr>
      <t xml:space="preserve">and therefore non-responsive, while the barrier mentions errors, indicating inaccurate or unreliable output.</t>
    </r>
  </si>
  <si>
    <t xml:space="preserve">The stance response is a non-responsive token per rule R-S7.</t>
  </si>
  <si>
    <r>
      <rPr>
        <sz val="11"/>
        <color theme="1"/>
        <rFont val="Calibri"/>
        <family val="2"/>
        <charset val="1"/>
      </rPr>
      <t xml:space="preserve">The stance '</t>
    </r>
    <r>
      <rPr>
        <sz val="11"/>
        <color theme="1"/>
        <rFont val="FreeSans"/>
        <family val="2"/>
      </rPr>
      <t xml:space="preserve">نعم</t>
    </r>
    <r>
      <rPr>
        <sz val="11"/>
        <color theme="1"/>
        <rFont val="Calibri"/>
        <family val="2"/>
        <charset val="1"/>
      </rPr>
      <t xml:space="preserve">' is explicitly listed as uncodable under rule R-S7. For the themes, '</t>
    </r>
    <r>
      <rPr>
        <sz val="11"/>
        <color theme="1"/>
        <rFont val="FreeSans"/>
        <family val="2"/>
      </rPr>
      <t xml:space="preserve">الأخطاء</t>
    </r>
    <r>
      <rPr>
        <sz val="11"/>
        <color theme="1"/>
        <rFont val="Calibri"/>
        <family val="2"/>
        <charset val="1"/>
      </rPr>
      <t xml:space="preserve">' corresponds to T1, while '</t>
    </r>
    <r>
      <rPr>
        <sz val="11"/>
        <color theme="1"/>
        <rFont val="FreeSans"/>
        <family val="2"/>
      </rPr>
      <t xml:space="preserve">عدم التفكير والأعتماد عليها</t>
    </r>
    <r>
      <rPr>
        <sz val="11"/>
        <color theme="1"/>
        <rFont val="Calibri"/>
        <family val="2"/>
        <charset val="1"/>
      </rPr>
      <t xml:space="preserve">' (dependency/lack of thought) does not fit themes T1-T8 and cannot be coded as T9 because T1 is already present (Rule R-T9).</t>
    </r>
  </si>
  <si>
    <t xml:space="preserve">The stance says both depending on use, and the barriers mention not understanding the request plus rhetorical/verse analysis in Arabic literary domains.</t>
  </si>
  <si>
    <t xml:space="preserve">The response states the outcome depends on usage and identifies AI's weakness in understanding what is required and in the rhetorical analysis of verses.</t>
  </si>
  <si>
    <t xml:space="preserve">The stance explicitly says AI enhances innovation, and the barriers cite limited linguistic/literary content and inability to perform correct iʿrāb, which are Arabic language/literary weaknesses.</t>
  </si>
  <si>
    <t xml:space="preserve">The stance response states that AI fosters innovation, and the barrier response points to a lack of linguistic content and an inability to perform correct grammatical parsing (i'rāb).</t>
  </si>
  <si>
    <t xml:space="preserve">The stance explicitly says AI fosters innovation, and the barriers mention inaccuracy and lack of speed.</t>
  </si>
  <si>
    <t xml:space="preserve">It fosters innovation.</t>
  </si>
  <si>
    <t xml:space="preserve">The stance says the outcome depends on the person's use, and the barrier states the tool does not handle Arabic well.</t>
  </si>
  <si>
    <t xml:space="preserve">The outcome depends on the way the person uses the tool.</t>
  </si>
  <si>
    <t xml:space="preserve">The stance is conditional because it explicitly states that the outcome depends on the person's use (R-S4). The themes are T1 for the mention of lack of high quality (generic inaccuracy) and T2 for the statement that it does not master Arabic well (R-T2a).</t>
  </si>
  <si>
    <r>
      <rPr>
        <sz val="11"/>
        <color theme="1"/>
        <rFont val="FreeSans"/>
        <family val="2"/>
      </rPr>
      <t xml:space="preserve">الأثنين </t>
    </r>
    <r>
      <rPr>
        <sz val="11"/>
        <color theme="1"/>
        <rFont val="Calibri"/>
        <family val="2"/>
        <charset val="1"/>
      </rPr>
      <t xml:space="preserve">is a bare both-form coded conditional, and </t>
    </r>
    <r>
      <rPr>
        <sz val="11"/>
        <color theme="1"/>
        <rFont val="FreeSans"/>
        <family val="2"/>
      </rPr>
      <t xml:space="preserve">المعلومات الخاطئة </t>
    </r>
    <r>
      <rPr>
        <sz val="11"/>
        <color theme="1"/>
        <rFont val="Calibri"/>
        <family val="2"/>
        <charset val="1"/>
      </rPr>
      <t xml:space="preserve">indicates inaccurate or unreliable output.</t>
    </r>
  </si>
  <si>
    <t xml:space="preserve">The respondent states both dependency and innovation are possible outcomes and mentions wrong information as a barrier.</t>
  </si>
  <si>
    <r>
      <rPr>
        <sz val="11"/>
        <color theme="1"/>
        <rFont val="FreeSans"/>
        <family val="2"/>
      </rPr>
      <t xml:space="preserve">الجانبان صيغة صريحة لكلا الموقفين فتُرمّز </t>
    </r>
    <r>
      <rPr>
        <sz val="11"/>
        <color theme="1"/>
        <rFont val="Calibri"/>
        <family val="2"/>
        <charset val="1"/>
      </rPr>
      <t xml:space="preserve">conditional</t>
    </r>
    <r>
      <rPr>
        <sz val="11"/>
        <color theme="1"/>
        <rFont val="FreeSans"/>
        <family val="2"/>
      </rPr>
      <t xml:space="preserve">، وذكر الأخطاء النحوية والصرفية يدل على ضعف في مجالات اللغة العربية فيُرمّز </t>
    </r>
    <r>
      <rPr>
        <sz val="11"/>
        <color theme="1"/>
        <rFont val="Calibri"/>
        <family val="2"/>
        <charset val="1"/>
      </rPr>
      <t xml:space="preserve">T2.</t>
    </r>
  </si>
  <si>
    <t xml:space="preserve">The response takes a conditional stance by stating 'both sides' and identifies grammatical and morphological errors as a barrier.</t>
  </si>
  <si>
    <t xml:space="preserve">T4,T6</t>
  </si>
  <si>
    <r>
      <rPr>
        <sz val="11"/>
        <color theme="1"/>
        <rFont val="FreeSans"/>
        <family val="2"/>
      </rPr>
      <t xml:space="preserve">الموقف مشروط بطريقة الاستخدام، والحواجز المذكورة هي عدم قدرة الأدوات على التعامل مع نصوص عربية غير مرقمنة وتقديم معلومات خاطئة عن المراجع العربية التراثية</t>
    </r>
    <r>
      <rPr>
        <sz val="11"/>
        <color theme="1"/>
        <rFont val="Calibri"/>
        <family val="2"/>
        <charset val="1"/>
      </rPr>
      <t xml:space="preserve">.</t>
    </r>
  </si>
  <si>
    <t xml:space="preserve">The outcome depends on the user's method, as it leads to dependency if used for judgment but is helpful if used correctly to save time or open new knowledge areas.</t>
  </si>
  <si>
    <t xml:space="preserve">The stance is conditional because it explicitly states the outcome depends on the method of use (R-S4). The themes include T4 for incorrect information about references and T6 for the AI's inability to read Arabic texts due to lack of digitization/support.</t>
  </si>
  <si>
    <r>
      <rPr>
        <sz val="11"/>
        <color theme="1"/>
        <rFont val="FreeSans"/>
        <family val="2"/>
      </rPr>
      <t xml:space="preserve">يرى أن الذكاء الاصطناعي يساعده على التحليل والابتكار، بينما يذكر عوائق تتعلق بعدم دقة المعلومات وبالمصادر الموهومة</t>
    </r>
    <r>
      <rPr>
        <sz val="11"/>
        <color theme="1"/>
        <rFont val="Calibri"/>
        <family val="2"/>
        <charset val="1"/>
      </rPr>
      <t xml:space="preserve">.</t>
    </r>
  </si>
  <si>
    <t xml:space="preserve">The respondent states that AI helps them in analysis, innovation, and broadening horizons.</t>
  </si>
  <si>
    <r>
      <rPr>
        <sz val="11"/>
        <color theme="1"/>
        <rFont val="Calibri"/>
        <family val="2"/>
        <charset val="1"/>
      </rPr>
      <t xml:space="preserve">The stance explicitly mentions innovation (</t>
    </r>
    <r>
      <rPr>
        <sz val="11"/>
        <color theme="1"/>
        <rFont val="FreeSans"/>
        <family val="2"/>
      </rPr>
      <t xml:space="preserve">الابتكار</t>
    </r>
    <r>
      <rPr>
        <sz val="11"/>
        <color theme="1"/>
        <rFont val="Calibri"/>
        <family val="2"/>
        <charset val="1"/>
      </rPr>
      <t xml:space="preserve">). For themes, T1 is cited for inaccuracy, T4 for illusory sources (</t>
    </r>
    <r>
      <rPr>
        <sz val="11"/>
        <color theme="1"/>
        <rFont val="FreeSans"/>
        <family val="2"/>
      </rPr>
      <t xml:space="preserve">المصادر الموهومة</t>
    </r>
    <r>
      <rPr>
        <sz val="11"/>
        <color theme="1"/>
        <rFont val="Calibri"/>
        <family val="2"/>
        <charset val="1"/>
      </rPr>
      <t xml:space="preserve">), and T5 for the observation that answers vary with question phrasing, which relates to prompting/phrasing skills.</t>
    </r>
  </si>
  <si>
    <r>
      <rPr>
        <sz val="11"/>
        <color theme="1"/>
        <rFont val="FreeSans"/>
        <family val="2"/>
      </rPr>
      <t xml:space="preserve">العبارة تذكر بين الاعتماد والابتكار فتصنف شرطية، والحاجز المذكور هو عدم الدقة في المخرجات</t>
    </r>
    <r>
      <rPr>
        <sz val="11"/>
        <color theme="1"/>
        <rFont val="Calibri"/>
        <family val="2"/>
        <charset val="1"/>
      </rPr>
      <t xml:space="preserve">.</t>
    </r>
  </si>
  <si>
    <t xml:space="preserve">The response places the outcome between dependency and innovation.</t>
  </si>
  <si>
    <t xml:space="preserve">The stance says AI use mostly leads to dependency, and the barriers describe inconsistent/multiple answers and lack of accuracy.</t>
  </si>
  <si>
    <t xml:space="preserve">The response states that AI use often leads to dependency.</t>
  </si>
  <si>
    <t xml:space="preserve">The stance says AI enhances individuality and innovation, while the barriers mention inaccurate or insufficient information and incorrect iʿrāb, an Arabic grammar domain.</t>
  </si>
  <si>
    <t xml:space="preserve">The response states that AI use promotes individuality and innovation.</t>
  </si>
  <si>
    <t xml:space="preserve">INTER-MODEL AGREEMENT -- not intercoder reliability</t>
  </si>
  <si>
    <t xml:space="preserve">units annotated by both</t>
  </si>
  <si>
    <t xml:space="preserve">stance: observed agreement</t>
  </si>
  <si>
    <t xml:space="preserve">stance: Krippendorff alpha</t>
  </si>
  <si>
    <t xml:space="preserve">themes: exact-set agreement</t>
  </si>
  <si>
    <t xml:space="preserve">themes: Krippendorff alpha (exact set)</t>
  </si>
  <si>
    <t xml:space="preserve">disputed units adjudicated</t>
  </si>
  <si>
    <t xml:space="preserve">adjudicator saw model identities</t>
  </si>
  <si>
    <t xml:space="preserve">no</t>
  </si>
  <si>
    <t xml:space="preserve">suggestions visible to annotators</t>
  </si>
  <si>
    <t xml:space="preserve">no (blind)</t>
  </si>
  <si>
    <t xml:space="preserve">run date</t>
  </si>
  <si>
    <t xml:space="preserve">2026-09-04 23:53</t>
  </si>
</sst>
</file>

<file path=xl/styles.xml><?xml version="1.0" encoding="utf-8"?>
<styleSheet xmlns="http://schemas.openxmlformats.org/spreadsheetml/2006/main">
  <numFmts count="4">
    <numFmt numFmtId="164" formatCode="General"/>
    <numFmt numFmtId="165" formatCode="0"/>
    <numFmt numFmtId="166" formatCode="0.000"/>
    <numFmt numFmtId="167" formatCode="0.0000"/>
  </numFmts>
  <fonts count="14">
    <font>
      <sz val="11"/>
      <color theme="1"/>
      <name val="Calibri"/>
      <family val="2"/>
      <charset val="1"/>
    </font>
    <font>
      <sz val="10"/>
      <name val="Arial"/>
      <family val="0"/>
    </font>
    <font>
      <sz val="10"/>
      <name val="Arial"/>
      <family val="0"/>
    </font>
    <font>
      <sz val="10"/>
      <name val="Arial"/>
      <family val="0"/>
    </font>
    <font>
      <b val="true"/>
      <sz val="11"/>
      <name val="Calibri"/>
      <family val="0"/>
      <charset val="1"/>
    </font>
    <font>
      <sz val="11"/>
      <color theme="1"/>
      <name val="FreeSans"/>
      <family val="2"/>
      <charset val="1"/>
    </font>
    <font>
      <sz val="11"/>
      <name val="Calibri"/>
      <family val="0"/>
      <charset val="1"/>
    </font>
    <font>
      <sz val="11"/>
      <name val="FreeSans"/>
      <family val="2"/>
    </font>
    <font>
      <sz val="11"/>
      <color theme="1"/>
      <name val="FreeSans"/>
      <family val="2"/>
    </font>
    <font>
      <b val="true"/>
      <sz val="12"/>
      <name val="Calibri"/>
      <family val="0"/>
      <charset val="1"/>
    </font>
    <font>
      <i val="true"/>
      <sz val="10"/>
      <color rgb="FF595959"/>
      <name val="Calibri"/>
      <family val="0"/>
      <charset val="1"/>
    </font>
    <font>
      <sz val="11"/>
      <name val="FreeSans"/>
      <family val="2"/>
      <charset val="1"/>
    </font>
    <font>
      <b val="true"/>
      <sz val="11"/>
      <name val="Cambria"/>
      <family val="0"/>
      <charset val="1"/>
    </font>
    <font>
      <sz val="11"/>
      <name val="Cambria"/>
      <family val="0"/>
      <charset val="1"/>
    </font>
  </fonts>
  <fills count="6">
    <fill>
      <patternFill patternType="none"/>
    </fill>
    <fill>
      <patternFill patternType="gray125"/>
    </fill>
    <fill>
      <patternFill patternType="solid">
        <fgColor rgb="FFDEEAF6"/>
        <bgColor rgb="FFEDEDED"/>
      </patternFill>
    </fill>
    <fill>
      <patternFill patternType="solid">
        <fgColor rgb="FFEDEDED"/>
        <bgColor rgb="FFDEEAF6"/>
      </patternFill>
    </fill>
    <fill>
      <patternFill patternType="solid">
        <fgColor rgb="FFFFF2CC"/>
        <bgColor rgb="FFFCE4E4"/>
      </patternFill>
    </fill>
    <fill>
      <patternFill patternType="solid">
        <fgColor rgb="FFFCE4E4"/>
        <bgColor rgb="FFEDEDED"/>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readingOrder="2"/>
      <protection locked="true" hidden="false"/>
    </xf>
    <xf numFmtId="164" fontId="0" fillId="3" borderId="0" xfId="0" applyFont="true" applyBorder="false" applyAlignment="true" applyProtection="false">
      <alignment horizontal="general" vertical="bottom" textRotation="0" wrapText="false" indent="0" shrinkToFit="false"/>
      <protection locked="true" hidden="false"/>
    </xf>
    <xf numFmtId="164" fontId="0"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6" fillId="2" borderId="2" xfId="0" applyFont="true" applyBorder="true" applyAlignment="true" applyProtection="false">
      <alignment horizontal="general" vertical="bottom" textRotation="0" wrapText="false" indent="0" shrinkToFit="false"/>
      <protection locked="true" hidden="false"/>
    </xf>
    <xf numFmtId="164" fontId="6" fillId="2" borderId="2"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readingOrder="2"/>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64" fontId="7" fillId="5"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6" fillId="5"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6" fillId="4"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6" fontId="4"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6" fillId="4"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EDEDED"/>
          <bgColor rgb="FF000000"/>
        </patternFill>
      </fill>
    </dxf>
    <dxf>
      <fill>
        <patternFill patternType="solid">
          <bgColor rgb="FF000000"/>
        </patternFill>
      </fill>
    </dxf>
    <dxf>
      <fill>
        <patternFill patternType="solid">
          <fgColor rgb="FFFFF2CC"/>
          <bgColor rgb="FF000000"/>
        </patternFill>
      </fill>
    </dxf>
  </dxfs>
  <colors>
    <indexedColors>
      <rgbColor rgb="FF000000"/>
      <rgbColor rgb="FFEDEDED"/>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EEAF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4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D7" activeCellId="0" sqref="D7"/>
    </sheetView>
  </sheetViews>
  <sheetFormatPr defaultColWidth="8.6796875" defaultRowHeight="14.25" zeroHeight="false" outlineLevelRow="0" outlineLevelCol="0"/>
  <cols>
    <col collapsed="false" customWidth="true" hidden="false" outlineLevel="0" max="1" min="1" style="1" width="15"/>
    <col collapsed="false" customWidth="true" hidden="false" outlineLevel="0" max="2" min="2" style="1" width="62"/>
    <col collapsed="false" customWidth="true" hidden="false" outlineLevel="0" max="3" min="3" style="1" width="17"/>
    <col collapsed="false" customWidth="true" hidden="false" outlineLevel="0" max="6" min="4" style="1" width="15"/>
    <col collapsed="false" customWidth="true" hidden="false" outlineLevel="0" max="7" min="7" style="1" width="66"/>
    <col collapsed="false" customWidth="true" hidden="false" outlineLevel="0" max="8" min="8" style="1" width="19"/>
    <col collapsed="false" customWidth="true" hidden="false" outlineLevel="0" max="11" min="9" style="1" width="16"/>
    <col collapsed="false" customWidth="true" hidden="false" outlineLevel="0" max="12" min="12" style="1" width="30"/>
    <col collapsed="false" customWidth="true" hidden="false" outlineLevel="0" max="13" min="13" style="1" width="14"/>
    <col collapsed="false" customWidth="true" hidden="false" outlineLevel="0" max="14" min="14" style="1" width="18"/>
    <col collapsed="false" customWidth="true" hidden="false" outlineLevel="0" max="15" min="15" style="1" width="15"/>
    <col collapsed="false" customWidth="true" hidden="false" outlineLevel="0" max="16" min="16" style="1" width="18"/>
    <col collapsed="false" customWidth="true" hidden="false" outlineLevel="0" max="17" min="17" style="1" width="14"/>
    <col collapsed="false" customWidth="true" hidden="false" outlineLevel="0" max="18" min="18" style="1" width="70"/>
  </cols>
  <sheetData>
    <row r="1" customFormat="false" ht="14.2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3" t="s">
        <v>12</v>
      </c>
      <c r="N1" s="3" t="s">
        <v>13</v>
      </c>
      <c r="O1" s="3" t="s">
        <v>14</v>
      </c>
      <c r="P1" s="3" t="s">
        <v>15</v>
      </c>
      <c r="Q1" s="3" t="s">
        <v>16</v>
      </c>
      <c r="R1" s="3" t="s">
        <v>17</v>
      </c>
    </row>
    <row r="2" customFormat="false" ht="14.25" hidden="false" customHeight="true" outlineLevel="0" collapsed="false">
      <c r="A2" s="1" t="s">
        <v>18</v>
      </c>
      <c r="B2" s="4" t="s">
        <v>19</v>
      </c>
      <c r="C2" s="5" t="s">
        <v>20</v>
      </c>
      <c r="D2" s="6" t="s">
        <v>20</v>
      </c>
      <c r="E2" s="6" t="s">
        <v>20</v>
      </c>
      <c r="F2" s="6"/>
      <c r="G2" s="4" t="s">
        <v>21</v>
      </c>
      <c r="H2" s="5" t="s">
        <v>22</v>
      </c>
      <c r="I2" s="7"/>
      <c r="J2" s="7"/>
      <c r="K2" s="7"/>
      <c r="M2" s="8" t="s">
        <v>20</v>
      </c>
      <c r="N2" s="8" t="str">
        <f aca="false">IF($M2="","",IF($M2=$C2,"match","OVERRIDE"))</f>
        <v>match</v>
      </c>
      <c r="O2" s="8" t="s">
        <v>22</v>
      </c>
      <c r="P2" s="8" t="str">
        <f aca="false">IF($O2="","",IF($O2=$H2,"match","OVERRIDE"))</f>
        <v>match</v>
      </c>
      <c r="Q2" s="8" t="s">
        <v>23</v>
      </c>
      <c r="R2" s="9"/>
    </row>
    <row r="3" customFormat="false" ht="14.25" hidden="false" customHeight="true" outlineLevel="0" collapsed="false">
      <c r="A3" s="1" t="s">
        <v>24</v>
      </c>
      <c r="B3" s="4" t="s">
        <v>25</v>
      </c>
      <c r="C3" s="5" t="s">
        <v>20</v>
      </c>
      <c r="D3" s="6" t="s">
        <v>26</v>
      </c>
      <c r="E3" s="6" t="s">
        <v>27</v>
      </c>
      <c r="F3" s="6"/>
      <c r="G3" s="4" t="s">
        <v>28</v>
      </c>
      <c r="H3" s="5" t="s">
        <v>29</v>
      </c>
      <c r="I3" s="7"/>
      <c r="J3" s="7"/>
      <c r="K3" s="7"/>
      <c r="M3" s="8" t="s">
        <v>20</v>
      </c>
      <c r="N3" s="8" t="str">
        <f aca="false">IF($M3="","",IF($M3=$C3,"match","OVERRIDE"))</f>
        <v>match</v>
      </c>
      <c r="O3" s="8" t="s">
        <v>29</v>
      </c>
      <c r="P3" s="8" t="str">
        <f aca="false">IF($O3="","",IF($O3=$H3,"match","OVERRIDE"))</f>
        <v>match</v>
      </c>
      <c r="Q3" s="8" t="s">
        <v>23</v>
      </c>
      <c r="R3" s="9"/>
    </row>
    <row r="4" customFormat="false" ht="14.25" hidden="false" customHeight="true" outlineLevel="0" collapsed="false">
      <c r="A4" s="1" t="s">
        <v>30</v>
      </c>
      <c r="B4" s="4" t="s">
        <v>25</v>
      </c>
      <c r="C4" s="5" t="s">
        <v>20</v>
      </c>
      <c r="D4" s="6" t="s">
        <v>31</v>
      </c>
      <c r="E4" s="6" t="s">
        <v>31</v>
      </c>
      <c r="F4" s="6"/>
      <c r="G4" s="4" t="s">
        <v>32</v>
      </c>
      <c r="H4" s="5" t="s">
        <v>33</v>
      </c>
      <c r="I4" s="7"/>
      <c r="J4" s="7"/>
      <c r="K4" s="7"/>
      <c r="M4" s="8" t="s">
        <v>20</v>
      </c>
      <c r="N4" s="8" t="str">
        <f aca="false">IF($M4="","",IF($M4=$C4,"match","OVERRIDE"))</f>
        <v>match</v>
      </c>
      <c r="O4" s="8" t="s">
        <v>33</v>
      </c>
      <c r="P4" s="8" t="str">
        <f aca="false">IF($O4="","",IF($O4=$H4,"match","OVERRIDE"))</f>
        <v>match</v>
      </c>
      <c r="Q4" s="8" t="s">
        <v>23</v>
      </c>
      <c r="R4" s="9"/>
    </row>
    <row r="5" customFormat="false" ht="14.25" hidden="false" customHeight="true" outlineLevel="0" collapsed="false">
      <c r="A5" s="1" t="s">
        <v>34</v>
      </c>
      <c r="B5" s="4" t="s">
        <v>35</v>
      </c>
      <c r="C5" s="5" t="s">
        <v>26</v>
      </c>
      <c r="D5" s="6" t="s">
        <v>20</v>
      </c>
      <c r="E5" s="6" t="s">
        <v>27</v>
      </c>
      <c r="F5" s="6" t="s">
        <v>20</v>
      </c>
      <c r="G5" s="4" t="s">
        <v>36</v>
      </c>
      <c r="H5" s="5" t="s">
        <v>29</v>
      </c>
      <c r="I5" s="7"/>
      <c r="J5" s="7"/>
      <c r="K5" s="7"/>
      <c r="M5" s="8" t="s">
        <v>26</v>
      </c>
      <c r="N5" s="8" t="str">
        <f aca="false">IF($M5="","",IF($M5=$C5,"match","OVERRIDE"))</f>
        <v>match</v>
      </c>
      <c r="O5" s="8" t="s">
        <v>29</v>
      </c>
      <c r="P5" s="8" t="str">
        <f aca="false">IF($O5="","",IF($O5=$H5,"match","OVERRIDE"))</f>
        <v>match</v>
      </c>
      <c r="Q5" s="8" t="s">
        <v>23</v>
      </c>
      <c r="R5" s="9"/>
    </row>
    <row r="6" customFormat="false" ht="28.5" hidden="false" customHeight="true" outlineLevel="0" collapsed="false">
      <c r="A6" s="1" t="s">
        <v>37</v>
      </c>
      <c r="B6" s="4" t="s">
        <v>38</v>
      </c>
      <c r="C6" s="5"/>
      <c r="D6" s="6" t="s">
        <v>27</v>
      </c>
      <c r="E6" s="6" t="s">
        <v>26</v>
      </c>
      <c r="F6" s="6" t="s">
        <v>26</v>
      </c>
      <c r="G6" s="4" t="s">
        <v>39</v>
      </c>
      <c r="H6" s="5" t="s">
        <v>40</v>
      </c>
      <c r="I6" s="7"/>
      <c r="J6" s="7"/>
      <c r="K6" s="7"/>
      <c r="L6" s="1" t="s">
        <v>41</v>
      </c>
      <c r="M6" s="8" t="s">
        <v>20</v>
      </c>
      <c r="N6" s="8" t="str">
        <f aca="false">IF($M6="","",IF($M6=$C6,"match","OVERRIDE"))</f>
        <v>OVERRIDE</v>
      </c>
      <c r="O6" s="8" t="s">
        <v>40</v>
      </c>
      <c r="P6" s="8" t="str">
        <f aca="false">IF($O6="","",IF($O6=$H6,"match","OVERRIDE"))</f>
        <v>match</v>
      </c>
      <c r="Q6" s="8" t="s">
        <v>23</v>
      </c>
      <c r="R6" s="9" t="s">
        <v>42</v>
      </c>
    </row>
    <row r="7" customFormat="false" ht="14.25" hidden="false" customHeight="true" outlineLevel="0" collapsed="false">
      <c r="A7" s="1" t="s">
        <v>43</v>
      </c>
      <c r="B7" s="4" t="s">
        <v>44</v>
      </c>
      <c r="C7" s="5" t="s">
        <v>27</v>
      </c>
      <c r="D7" s="6" t="s">
        <v>26</v>
      </c>
      <c r="E7" s="6"/>
      <c r="F7" s="6"/>
      <c r="G7" s="4" t="s">
        <v>45</v>
      </c>
      <c r="H7" s="5" t="s">
        <v>46</v>
      </c>
      <c r="I7" s="7"/>
      <c r="J7" s="7"/>
      <c r="K7" s="7"/>
      <c r="M7" s="8" t="s">
        <v>27</v>
      </c>
      <c r="N7" s="8" t="str">
        <f aca="false">IF($M7="","",IF($M7=$C7,"match","OVERRIDE"))</f>
        <v>match</v>
      </c>
      <c r="O7" s="8" t="s">
        <v>46</v>
      </c>
      <c r="P7" s="8" t="str">
        <f aca="false">IF($O7="","",IF($O7=$H7,"match","OVERRIDE"))</f>
        <v>match</v>
      </c>
      <c r="Q7" s="8" t="s">
        <v>23</v>
      </c>
      <c r="R7" s="9"/>
    </row>
    <row r="8" customFormat="false" ht="14.25" hidden="false" customHeight="true" outlineLevel="0" collapsed="false">
      <c r="A8" s="1" t="s">
        <v>47</v>
      </c>
      <c r="B8" s="4" t="s">
        <v>48</v>
      </c>
      <c r="C8" s="5" t="s">
        <v>31</v>
      </c>
      <c r="D8" s="6"/>
      <c r="E8" s="6"/>
      <c r="F8" s="6"/>
      <c r="G8" s="4" t="s">
        <v>49</v>
      </c>
      <c r="H8" s="5" t="s">
        <v>50</v>
      </c>
      <c r="I8" s="7"/>
      <c r="J8" s="7"/>
      <c r="K8" s="7"/>
      <c r="M8" s="8" t="s">
        <v>31</v>
      </c>
      <c r="N8" s="8" t="str">
        <f aca="false">IF($M8="","",IF($M8=$C8,"match","OVERRIDE"))</f>
        <v>match</v>
      </c>
      <c r="O8" s="8" t="s">
        <v>50</v>
      </c>
      <c r="P8" s="8" t="str">
        <f aca="false">IF($O8="","",IF($O8=$H8,"match","OVERRIDE"))</f>
        <v>match</v>
      </c>
      <c r="Q8" s="8" t="s">
        <v>23</v>
      </c>
      <c r="R8" s="9"/>
    </row>
    <row r="9" customFormat="false" ht="27.75" hidden="false" customHeight="true" outlineLevel="0" collapsed="false">
      <c r="A9" s="1" t="s">
        <v>51</v>
      </c>
      <c r="B9" s="10" t="s">
        <v>52</v>
      </c>
      <c r="C9" s="5" t="s">
        <v>31</v>
      </c>
      <c r="D9" s="6"/>
      <c r="E9" s="6"/>
      <c r="F9" s="6"/>
      <c r="G9" s="4" t="s">
        <v>53</v>
      </c>
      <c r="H9" s="5" t="s">
        <v>22</v>
      </c>
      <c r="I9" s="7"/>
      <c r="J9" s="7"/>
      <c r="K9" s="7"/>
      <c r="M9" s="8" t="s">
        <v>31</v>
      </c>
      <c r="N9" s="8" t="str">
        <f aca="false">IF($M9="","",IF($M9=$C9,"match","OVERRIDE"))</f>
        <v>match</v>
      </c>
      <c r="O9" s="8" t="s">
        <v>46</v>
      </c>
      <c r="P9" s="8" t="str">
        <f aca="false">IF($O9="","",IF($O9=$H9,"match","OVERRIDE"))</f>
        <v>OVERRIDE</v>
      </c>
      <c r="Q9" s="8" t="s">
        <v>23</v>
      </c>
      <c r="R9" s="9" t="s">
        <v>54</v>
      </c>
    </row>
    <row r="10" customFormat="false" ht="41.25" hidden="false" customHeight="true" outlineLevel="0" collapsed="false">
      <c r="A10" s="1" t="s">
        <v>55</v>
      </c>
      <c r="B10" s="4" t="s">
        <v>56</v>
      </c>
      <c r="C10" s="5" t="s">
        <v>26</v>
      </c>
      <c r="D10" s="6"/>
      <c r="E10" s="6"/>
      <c r="F10" s="6"/>
      <c r="G10" s="4" t="s">
        <v>57</v>
      </c>
      <c r="H10" s="5" t="s">
        <v>29</v>
      </c>
      <c r="I10" s="7"/>
      <c r="J10" s="7"/>
      <c r="K10" s="7"/>
      <c r="M10" s="8" t="s">
        <v>26</v>
      </c>
      <c r="N10" s="8" t="str">
        <f aca="false">IF($M10="","",IF($M10=$C10,"match","OVERRIDE"))</f>
        <v>match</v>
      </c>
      <c r="O10" s="8" t="s">
        <v>58</v>
      </c>
      <c r="P10" s="8" t="str">
        <f aca="false">IF($O10="","",IF($O10=$H10,"match","OVERRIDE"))</f>
        <v>OVERRIDE</v>
      </c>
      <c r="Q10" s="8" t="s">
        <v>59</v>
      </c>
      <c r="R10" s="9" t="s">
        <v>60</v>
      </c>
    </row>
    <row r="11" customFormat="false" ht="14.25" hidden="false" customHeight="true" outlineLevel="0" collapsed="false">
      <c r="A11" s="1" t="s">
        <v>61</v>
      </c>
      <c r="B11" s="4" t="s">
        <v>62</v>
      </c>
      <c r="C11" s="5" t="s">
        <v>27</v>
      </c>
      <c r="D11" s="6"/>
      <c r="E11" s="6"/>
      <c r="F11" s="6"/>
      <c r="G11" s="4" t="s">
        <v>63</v>
      </c>
      <c r="H11" s="5" t="s">
        <v>64</v>
      </c>
      <c r="I11" s="7"/>
      <c r="J11" s="7"/>
      <c r="K11" s="7"/>
      <c r="M11" s="8" t="s">
        <v>27</v>
      </c>
      <c r="N11" s="8" t="str">
        <f aca="false">IF($M11="","",IF($M11=$C11,"match","OVERRIDE"))</f>
        <v>match</v>
      </c>
      <c r="O11" s="8" t="s">
        <v>64</v>
      </c>
      <c r="P11" s="8" t="str">
        <f aca="false">IF($O11="","",IF($O11=$H11,"match","OVERRIDE"))</f>
        <v>match</v>
      </c>
      <c r="Q11" s="8" t="s">
        <v>23</v>
      </c>
      <c r="R11" s="9"/>
    </row>
    <row r="12" customFormat="false" ht="14.25" hidden="false" customHeight="true" outlineLevel="0" collapsed="false">
      <c r="A12" s="1" t="s">
        <v>65</v>
      </c>
      <c r="B12" s="4" t="s">
        <v>66</v>
      </c>
      <c r="C12" s="5" t="s">
        <v>27</v>
      </c>
      <c r="D12" s="6"/>
      <c r="E12" s="6"/>
      <c r="F12" s="6"/>
      <c r="G12" s="4" t="s">
        <v>67</v>
      </c>
      <c r="H12" s="5" t="s">
        <v>68</v>
      </c>
      <c r="I12" s="7"/>
      <c r="J12" s="7"/>
      <c r="K12" s="7"/>
      <c r="M12" s="8" t="s">
        <v>27</v>
      </c>
      <c r="N12" s="8" t="str">
        <f aca="false">IF($M12="","",IF($M12=$C12,"match","OVERRIDE"))</f>
        <v>match</v>
      </c>
      <c r="O12" s="8" t="s">
        <v>68</v>
      </c>
      <c r="P12" s="8" t="str">
        <f aca="false">IF($O12="","",IF($O12=$H12,"match","OVERRIDE"))</f>
        <v>match</v>
      </c>
      <c r="Q12" s="8" t="s">
        <v>23</v>
      </c>
      <c r="R12" s="9"/>
    </row>
    <row r="13" customFormat="false" ht="14.25" hidden="false" customHeight="true" outlineLevel="0" collapsed="false">
      <c r="A13" s="1" t="s">
        <v>69</v>
      </c>
      <c r="B13" s="4" t="s">
        <v>70</v>
      </c>
      <c r="C13" s="5" t="s">
        <v>26</v>
      </c>
      <c r="D13" s="6"/>
      <c r="E13" s="6"/>
      <c r="F13" s="6"/>
      <c r="G13" s="4" t="s">
        <v>71</v>
      </c>
      <c r="H13" s="5" t="s">
        <v>46</v>
      </c>
      <c r="I13" s="7"/>
      <c r="J13" s="7"/>
      <c r="K13" s="7"/>
      <c r="M13" s="8" t="s">
        <v>26</v>
      </c>
      <c r="N13" s="8" t="str">
        <f aca="false">IF($M13="","",IF($M13=$C13,"match","OVERRIDE"))</f>
        <v>match</v>
      </c>
      <c r="O13" s="8" t="s">
        <v>46</v>
      </c>
      <c r="P13" s="8" t="str">
        <f aca="false">IF($O13="","",IF($O13=$H13,"match","OVERRIDE"))</f>
        <v>match</v>
      </c>
      <c r="Q13" s="8" t="s">
        <v>23</v>
      </c>
      <c r="R13" s="9"/>
    </row>
    <row r="14" customFormat="false" ht="14.25" hidden="false" customHeight="true" outlineLevel="0" collapsed="false">
      <c r="A14" s="1" t="s">
        <v>72</v>
      </c>
      <c r="B14" s="4" t="s">
        <v>73</v>
      </c>
      <c r="C14" s="5" t="s">
        <v>27</v>
      </c>
      <c r="D14" s="6"/>
      <c r="E14" s="6"/>
      <c r="F14" s="6"/>
      <c r="G14" s="4" t="s">
        <v>74</v>
      </c>
      <c r="H14" s="5" t="s">
        <v>22</v>
      </c>
      <c r="I14" s="7"/>
      <c r="J14" s="7"/>
      <c r="K14" s="7"/>
      <c r="M14" s="8" t="s">
        <v>27</v>
      </c>
      <c r="N14" s="8" t="str">
        <f aca="false">IF($M14="","",IF($M14=$C14,"match","OVERRIDE"))</f>
        <v>match</v>
      </c>
      <c r="O14" s="8" t="s">
        <v>22</v>
      </c>
      <c r="P14" s="8" t="str">
        <f aca="false">IF($O14="","",IF($O14=$H14,"match","OVERRIDE"))</f>
        <v>match</v>
      </c>
      <c r="Q14" s="8" t="s">
        <v>23</v>
      </c>
      <c r="R14" s="9"/>
    </row>
    <row r="15" customFormat="false" ht="27.75" hidden="false" customHeight="true" outlineLevel="0" collapsed="false">
      <c r="A15" s="1" t="s">
        <v>75</v>
      </c>
      <c r="B15" s="4" t="s">
        <v>76</v>
      </c>
      <c r="C15" s="5" t="s">
        <v>26</v>
      </c>
      <c r="D15" s="6"/>
      <c r="E15" s="6"/>
      <c r="F15" s="6"/>
      <c r="G15" s="4" t="s">
        <v>77</v>
      </c>
      <c r="H15" s="5" t="s">
        <v>22</v>
      </c>
      <c r="I15" s="7"/>
      <c r="J15" s="7"/>
      <c r="K15" s="7"/>
      <c r="M15" s="8" t="s">
        <v>26</v>
      </c>
      <c r="N15" s="8" t="str">
        <f aca="false">IF($M15="","",IF($M15=$C15,"match","OVERRIDE"))</f>
        <v>match</v>
      </c>
      <c r="O15" s="8" t="s">
        <v>78</v>
      </c>
      <c r="P15" s="8" t="str">
        <f aca="false">IF($O15="","",IF($O15=$H15,"match","OVERRIDE"))</f>
        <v>OVERRIDE</v>
      </c>
      <c r="Q15" s="8" t="s">
        <v>23</v>
      </c>
      <c r="R15" s="9" t="s">
        <v>79</v>
      </c>
    </row>
    <row r="16" customFormat="false" ht="28.5" hidden="false" customHeight="true" outlineLevel="0" collapsed="false">
      <c r="A16" s="1" t="s">
        <v>80</v>
      </c>
      <c r="B16" s="4" t="s">
        <v>81</v>
      </c>
      <c r="C16" s="5" t="s">
        <v>26</v>
      </c>
      <c r="D16" s="6"/>
      <c r="E16" s="6"/>
      <c r="F16" s="6"/>
      <c r="G16" s="4" t="s">
        <v>82</v>
      </c>
      <c r="H16" s="5" t="s">
        <v>83</v>
      </c>
      <c r="I16" s="7"/>
      <c r="J16" s="7"/>
      <c r="K16" s="7"/>
      <c r="M16" s="8" t="s">
        <v>26</v>
      </c>
      <c r="N16" s="8" t="str">
        <f aca="false">IF($M16="","",IF($M16=$C16,"match","OVERRIDE"))</f>
        <v>match</v>
      </c>
      <c r="O16" s="8" t="s">
        <v>83</v>
      </c>
      <c r="P16" s="8" t="str">
        <f aca="false">IF($O16="","",IF($O16=$H16,"match","OVERRIDE"))</f>
        <v>match</v>
      </c>
      <c r="Q16" s="8" t="s">
        <v>23</v>
      </c>
      <c r="R16" s="9"/>
    </row>
    <row r="17" customFormat="false" ht="28.5" hidden="false" customHeight="true" outlineLevel="0" collapsed="false">
      <c r="A17" s="1" t="s">
        <v>84</v>
      </c>
      <c r="B17" s="4" t="s">
        <v>85</v>
      </c>
      <c r="C17" s="5" t="s">
        <v>26</v>
      </c>
      <c r="D17" s="6"/>
      <c r="E17" s="6"/>
      <c r="F17" s="6"/>
      <c r="G17" s="4" t="s">
        <v>86</v>
      </c>
      <c r="H17" s="5" t="s">
        <v>22</v>
      </c>
      <c r="I17" s="7"/>
      <c r="J17" s="7"/>
      <c r="K17" s="7"/>
      <c r="M17" s="8" t="s">
        <v>26</v>
      </c>
      <c r="N17" s="8" t="str">
        <f aca="false">IF($M17="","",IF($M17=$C17,"match","OVERRIDE"))</f>
        <v>match</v>
      </c>
      <c r="O17" s="8" t="s">
        <v>87</v>
      </c>
      <c r="P17" s="8" t="str">
        <f aca="false">IF($O17="","",IF($O17=$H17,"match","OVERRIDE"))</f>
        <v>OVERRIDE</v>
      </c>
      <c r="Q17" s="8" t="s">
        <v>88</v>
      </c>
      <c r="R17" s="9" t="s">
        <v>89</v>
      </c>
    </row>
    <row r="18" customFormat="false" ht="28.5" hidden="false" customHeight="true" outlineLevel="0" collapsed="false">
      <c r="A18" s="1" t="s">
        <v>90</v>
      </c>
      <c r="B18" s="4" t="s">
        <v>91</v>
      </c>
      <c r="C18" s="5" t="s">
        <v>27</v>
      </c>
      <c r="D18" s="6"/>
      <c r="E18" s="6"/>
      <c r="F18" s="6"/>
      <c r="G18" s="4" t="s">
        <v>92</v>
      </c>
      <c r="H18" s="5" t="s">
        <v>46</v>
      </c>
      <c r="I18" s="7"/>
      <c r="J18" s="7"/>
      <c r="K18" s="7"/>
      <c r="M18" s="8" t="s">
        <v>27</v>
      </c>
      <c r="N18" s="8" t="str">
        <f aca="false">IF($M18="","",IF($M18=$C18,"match","OVERRIDE"))</f>
        <v>match</v>
      </c>
      <c r="O18" s="8" t="s">
        <v>93</v>
      </c>
      <c r="P18" s="8" t="str">
        <f aca="false">IF($O18="","",IF($O18=$H18,"match","OVERRIDE"))</f>
        <v>OVERRIDE</v>
      </c>
      <c r="Q18" s="8" t="s">
        <v>88</v>
      </c>
      <c r="R18" s="9" t="s">
        <v>94</v>
      </c>
    </row>
    <row r="19" customFormat="false" ht="28.5" hidden="false" customHeight="true" outlineLevel="0" collapsed="false">
      <c r="A19" s="1" t="s">
        <v>95</v>
      </c>
      <c r="B19" s="4" t="s">
        <v>96</v>
      </c>
      <c r="C19" s="5" t="s">
        <v>26</v>
      </c>
      <c r="D19" s="6"/>
      <c r="E19" s="6"/>
      <c r="F19" s="6"/>
      <c r="G19" s="4" t="s">
        <v>97</v>
      </c>
      <c r="H19" s="5" t="s">
        <v>29</v>
      </c>
      <c r="I19" s="7"/>
      <c r="J19" s="7"/>
      <c r="K19" s="7"/>
      <c r="M19" s="8" t="s">
        <v>26</v>
      </c>
      <c r="N19" s="8" t="str">
        <f aca="false">IF($M19="","",IF($M19=$C19,"match","OVERRIDE"))</f>
        <v>match</v>
      </c>
      <c r="O19" s="8" t="s">
        <v>29</v>
      </c>
      <c r="P19" s="8" t="str">
        <f aca="false">IF($O19="","",IF($O19=$H19,"match","OVERRIDE"))</f>
        <v>match</v>
      </c>
      <c r="Q19" s="8" t="s">
        <v>23</v>
      </c>
      <c r="R19" s="9"/>
    </row>
    <row r="20" customFormat="false" ht="14.25" hidden="false" customHeight="true" outlineLevel="0" collapsed="false">
      <c r="A20" s="1" t="s">
        <v>98</v>
      </c>
      <c r="B20" s="4" t="s">
        <v>99</v>
      </c>
      <c r="C20" s="5" t="s">
        <v>26</v>
      </c>
      <c r="D20" s="6"/>
      <c r="E20" s="6"/>
      <c r="F20" s="6"/>
      <c r="G20" s="4" t="s">
        <v>100</v>
      </c>
      <c r="H20" s="5" t="s">
        <v>22</v>
      </c>
      <c r="I20" s="7"/>
      <c r="J20" s="7"/>
      <c r="K20" s="7"/>
      <c r="M20" s="8" t="s">
        <v>26</v>
      </c>
      <c r="N20" s="8" t="str">
        <f aca="false">IF($M20="","",IF($M20=$C20,"match","OVERRIDE"))</f>
        <v>match</v>
      </c>
      <c r="O20" s="8" t="s">
        <v>22</v>
      </c>
      <c r="P20" s="8" t="str">
        <f aca="false">IF($O20="","",IF($O20=$H20,"match","OVERRIDE"))</f>
        <v>match</v>
      </c>
      <c r="Q20" s="8" t="s">
        <v>23</v>
      </c>
      <c r="R20" s="9"/>
    </row>
    <row r="21" customFormat="false" ht="28.5" hidden="false" customHeight="true" outlineLevel="0" collapsed="false">
      <c r="A21" s="1" t="s">
        <v>101</v>
      </c>
      <c r="B21" s="4" t="s">
        <v>102</v>
      </c>
      <c r="C21" s="5" t="s">
        <v>27</v>
      </c>
      <c r="D21" s="6"/>
      <c r="E21" s="6"/>
      <c r="F21" s="6"/>
      <c r="G21" s="4" t="s">
        <v>103</v>
      </c>
      <c r="H21" s="5" t="s">
        <v>40</v>
      </c>
      <c r="I21" s="7"/>
      <c r="J21" s="7"/>
      <c r="K21" s="7"/>
      <c r="M21" s="8" t="s">
        <v>27</v>
      </c>
      <c r="N21" s="8" t="str">
        <f aca="false">IF($M21="","",IF($M21=$C21,"match","OVERRIDE"))</f>
        <v>match</v>
      </c>
      <c r="O21" s="8" t="s">
        <v>40</v>
      </c>
      <c r="P21" s="8" t="str">
        <f aca="false">IF($O21="","",IF($O21=$H21,"match","OVERRIDE"))</f>
        <v>match</v>
      </c>
      <c r="Q21" s="8" t="s">
        <v>23</v>
      </c>
      <c r="R21" s="9"/>
    </row>
    <row r="22" customFormat="false" ht="43.5" hidden="false" customHeight="true" outlineLevel="0" collapsed="false">
      <c r="A22" s="1" t="s">
        <v>104</v>
      </c>
      <c r="B22" s="4" t="s">
        <v>105</v>
      </c>
      <c r="C22" s="5" t="s">
        <v>26</v>
      </c>
      <c r="D22" s="6"/>
      <c r="E22" s="6"/>
      <c r="F22" s="6"/>
      <c r="G22" s="4" t="s">
        <v>106</v>
      </c>
      <c r="H22" s="5" t="s">
        <v>22</v>
      </c>
      <c r="I22" s="7"/>
      <c r="J22" s="7"/>
      <c r="K22" s="7"/>
      <c r="M22" s="8" t="s">
        <v>26</v>
      </c>
      <c r="N22" s="8" t="str">
        <f aca="false">IF($M22="","",IF($M22=$C22,"match","OVERRIDE"))</f>
        <v>match</v>
      </c>
      <c r="O22" s="8" t="s">
        <v>22</v>
      </c>
      <c r="P22" s="8" t="str">
        <f aca="false">IF($O22="","",IF($O22=$H22,"match","OVERRIDE"))</f>
        <v>match</v>
      </c>
      <c r="Q22" s="8" t="s">
        <v>23</v>
      </c>
      <c r="R22" s="9"/>
    </row>
    <row r="23" customFormat="false" ht="57.75" hidden="false" customHeight="true" outlineLevel="0" collapsed="false">
      <c r="A23" s="1" t="s">
        <v>107</v>
      </c>
      <c r="B23" s="4" t="s">
        <v>108</v>
      </c>
      <c r="C23" s="5" t="s">
        <v>26</v>
      </c>
      <c r="D23" s="6"/>
      <c r="E23" s="6"/>
      <c r="F23" s="6"/>
      <c r="G23" s="4" t="s">
        <v>109</v>
      </c>
      <c r="H23" s="5" t="s">
        <v>110</v>
      </c>
      <c r="I23" s="7"/>
      <c r="J23" s="7"/>
      <c r="K23" s="7"/>
      <c r="M23" s="8" t="s">
        <v>26</v>
      </c>
      <c r="N23" s="8" t="str">
        <f aca="false">IF($M23="","",IF($M23=$C23,"match","OVERRIDE"))</f>
        <v>match</v>
      </c>
      <c r="O23" s="8" t="s">
        <v>110</v>
      </c>
      <c r="P23" s="8" t="str">
        <f aca="false">IF($O23="","",IF($O23=$H23,"match","OVERRIDE"))</f>
        <v>match</v>
      </c>
      <c r="Q23" s="8" t="s">
        <v>23</v>
      </c>
      <c r="R23" s="9"/>
    </row>
    <row r="24" customFormat="false" ht="28.5" hidden="false" customHeight="true" outlineLevel="0" collapsed="false">
      <c r="A24" s="1" t="s">
        <v>111</v>
      </c>
      <c r="B24" s="4" t="s">
        <v>112</v>
      </c>
      <c r="C24" s="5" t="s">
        <v>26</v>
      </c>
      <c r="D24" s="6"/>
      <c r="E24" s="6"/>
      <c r="F24" s="6"/>
      <c r="G24" s="4" t="s">
        <v>113</v>
      </c>
      <c r="H24" s="5" t="s">
        <v>114</v>
      </c>
      <c r="I24" s="7"/>
      <c r="J24" s="7"/>
      <c r="K24" s="7"/>
      <c r="M24" s="8" t="s">
        <v>26</v>
      </c>
      <c r="N24" s="8" t="str">
        <f aca="false">IF($M24="","",IF($M24=$C24,"match","OVERRIDE"))</f>
        <v>match</v>
      </c>
      <c r="O24" s="8" t="s">
        <v>114</v>
      </c>
      <c r="P24" s="8" t="str">
        <f aca="false">IF($O24="","",IF($O24=$H24,"match","OVERRIDE"))</f>
        <v>match</v>
      </c>
      <c r="Q24" s="8" t="s">
        <v>23</v>
      </c>
      <c r="R24" s="9"/>
    </row>
    <row r="25" customFormat="false" ht="28.5" hidden="false" customHeight="true" outlineLevel="0" collapsed="false">
      <c r="A25" s="1" t="s">
        <v>115</v>
      </c>
      <c r="B25" s="4" t="s">
        <v>116</v>
      </c>
      <c r="C25" s="5" t="s">
        <v>26</v>
      </c>
      <c r="D25" s="6"/>
      <c r="E25" s="6"/>
      <c r="F25" s="6"/>
      <c r="G25" s="4" t="s">
        <v>117</v>
      </c>
      <c r="H25" s="5" t="s">
        <v>22</v>
      </c>
      <c r="I25" s="7"/>
      <c r="J25" s="7"/>
      <c r="K25" s="7"/>
      <c r="M25" s="8" t="s">
        <v>26</v>
      </c>
      <c r="N25" s="8" t="str">
        <f aca="false">IF($M25="","",IF($M25=$C25,"match","OVERRIDE"))</f>
        <v>match</v>
      </c>
      <c r="O25" s="8" t="s">
        <v>22</v>
      </c>
      <c r="P25" s="8" t="str">
        <f aca="false">IF($O25="","",IF($O25=$H25,"match","OVERRIDE"))</f>
        <v>match</v>
      </c>
      <c r="Q25" s="8" t="s">
        <v>23</v>
      </c>
      <c r="R25" s="9"/>
    </row>
    <row r="26" customFormat="false" ht="14.25" hidden="false" customHeight="true" outlineLevel="0" collapsed="false">
      <c r="A26" s="1" t="s">
        <v>118</v>
      </c>
      <c r="B26" s="4" t="s">
        <v>56</v>
      </c>
      <c r="C26" s="5" t="s">
        <v>26</v>
      </c>
      <c r="D26" s="6"/>
      <c r="E26" s="6"/>
      <c r="F26" s="6"/>
      <c r="G26" s="4" t="s">
        <v>119</v>
      </c>
      <c r="H26" s="5" t="s">
        <v>22</v>
      </c>
      <c r="I26" s="7"/>
      <c r="J26" s="7"/>
      <c r="K26" s="7"/>
      <c r="M26" s="8" t="s">
        <v>26</v>
      </c>
      <c r="N26" s="8" t="str">
        <f aca="false">IF($M26="","",IF($M26=$C26,"match","OVERRIDE"))</f>
        <v>match</v>
      </c>
      <c r="O26" s="8" t="s">
        <v>22</v>
      </c>
      <c r="P26" s="8" t="str">
        <f aca="false">IF($O26="","",IF($O26=$H26,"match","OVERRIDE"))</f>
        <v>match</v>
      </c>
      <c r="Q26" s="8" t="s">
        <v>23</v>
      </c>
      <c r="R26" s="9"/>
    </row>
    <row r="27" customFormat="false" ht="57.75" hidden="false" customHeight="true" outlineLevel="0" collapsed="false">
      <c r="A27" s="1" t="s">
        <v>120</v>
      </c>
      <c r="B27" s="4" t="s">
        <v>121</v>
      </c>
      <c r="C27" s="5" t="s">
        <v>26</v>
      </c>
      <c r="D27" s="6"/>
      <c r="E27" s="6"/>
      <c r="F27" s="6"/>
      <c r="G27" s="4" t="s">
        <v>122</v>
      </c>
      <c r="H27" s="5" t="s">
        <v>123</v>
      </c>
      <c r="I27" s="7"/>
      <c r="J27" s="7"/>
      <c r="K27" s="7"/>
      <c r="M27" s="8" t="s">
        <v>26</v>
      </c>
      <c r="N27" s="8" t="str">
        <f aca="false">IF($M27="","",IF($M27=$C27,"match","OVERRIDE"))</f>
        <v>match</v>
      </c>
      <c r="O27" s="8" t="s">
        <v>123</v>
      </c>
      <c r="P27" s="8" t="str">
        <f aca="false">IF($O27="","",IF($O27=$H27,"match","OVERRIDE"))</f>
        <v>match</v>
      </c>
      <c r="Q27" s="8" t="s">
        <v>23</v>
      </c>
      <c r="R27" s="9"/>
    </row>
    <row r="28" customFormat="false" ht="14.25" hidden="false" customHeight="true" outlineLevel="0" collapsed="false">
      <c r="A28" s="1" t="s">
        <v>124</v>
      </c>
      <c r="B28" s="4" t="s">
        <v>125</v>
      </c>
      <c r="C28" s="5" t="s">
        <v>20</v>
      </c>
      <c r="D28" s="6"/>
      <c r="E28" s="6"/>
      <c r="F28" s="6"/>
      <c r="G28" s="4" t="s">
        <v>126</v>
      </c>
      <c r="H28" s="5" t="s">
        <v>29</v>
      </c>
      <c r="I28" s="7"/>
      <c r="J28" s="7"/>
      <c r="K28" s="7"/>
      <c r="M28" s="8" t="s">
        <v>20</v>
      </c>
      <c r="N28" s="8" t="str">
        <f aca="false">IF($M28="","",IF($M28=$C28,"match","OVERRIDE"))</f>
        <v>match</v>
      </c>
      <c r="O28" s="8" t="s">
        <v>29</v>
      </c>
      <c r="P28" s="8" t="str">
        <f aca="false">IF($O28="","",IF($O28=$H28,"match","OVERRIDE"))</f>
        <v>match</v>
      </c>
      <c r="Q28" s="8" t="s">
        <v>23</v>
      </c>
      <c r="R28" s="9"/>
    </row>
    <row r="29" customFormat="false" ht="57.75" hidden="false" customHeight="true" outlineLevel="0" collapsed="false">
      <c r="A29" s="1" t="s">
        <v>127</v>
      </c>
      <c r="B29" s="4" t="s">
        <v>128</v>
      </c>
      <c r="C29" s="5" t="s">
        <v>26</v>
      </c>
      <c r="D29" s="6"/>
      <c r="E29" s="6"/>
      <c r="F29" s="6"/>
      <c r="G29" s="4" t="s">
        <v>129</v>
      </c>
      <c r="H29" s="5" t="s">
        <v>130</v>
      </c>
      <c r="I29" s="7"/>
      <c r="J29" s="7"/>
      <c r="K29" s="7"/>
      <c r="M29" s="8" t="s">
        <v>26</v>
      </c>
      <c r="N29" s="8" t="str">
        <f aca="false">IF($M29="","",IF($M29=$C29,"match","OVERRIDE"))</f>
        <v>match</v>
      </c>
      <c r="O29" s="8" t="s">
        <v>130</v>
      </c>
      <c r="P29" s="8" t="str">
        <f aca="false">IF($O29="","",IF($O29=$H29,"match","OVERRIDE"))</f>
        <v>match</v>
      </c>
      <c r="Q29" s="8" t="s">
        <v>23</v>
      </c>
      <c r="R29" s="9"/>
    </row>
    <row r="30" customFormat="false" ht="28.5" hidden="false" customHeight="true" outlineLevel="0" collapsed="false">
      <c r="A30" s="1" t="s">
        <v>131</v>
      </c>
      <c r="B30" s="4" t="s">
        <v>132</v>
      </c>
      <c r="C30" s="5" t="s">
        <v>27</v>
      </c>
      <c r="D30" s="6"/>
      <c r="E30" s="6"/>
      <c r="F30" s="6"/>
      <c r="G30" s="4" t="s">
        <v>133</v>
      </c>
      <c r="H30" s="5" t="s">
        <v>40</v>
      </c>
      <c r="I30" s="7"/>
      <c r="J30" s="7"/>
      <c r="K30" s="7"/>
      <c r="M30" s="8" t="s">
        <v>27</v>
      </c>
      <c r="N30" s="8" t="str">
        <f aca="false">IF($M30="","",IF($M30=$C30,"match","OVERRIDE"))</f>
        <v>match</v>
      </c>
      <c r="O30" s="8" t="s">
        <v>134</v>
      </c>
      <c r="P30" s="8" t="str">
        <f aca="false">IF($O30="","",IF($O30=$H30,"match","OVERRIDE"))</f>
        <v>OVERRIDE</v>
      </c>
      <c r="Q30" s="8" t="s">
        <v>59</v>
      </c>
      <c r="R30" s="9" t="s">
        <v>135</v>
      </c>
    </row>
    <row r="31" customFormat="false" ht="14.25" hidden="false" customHeight="true" outlineLevel="0" collapsed="false">
      <c r="A31" s="1" t="s">
        <v>136</v>
      </c>
      <c r="B31" s="4" t="s">
        <v>137</v>
      </c>
      <c r="C31" s="5" t="s">
        <v>27</v>
      </c>
      <c r="D31" s="6"/>
      <c r="E31" s="6"/>
      <c r="F31" s="6"/>
      <c r="G31" s="10" t="s">
        <v>138</v>
      </c>
      <c r="H31" s="5"/>
      <c r="I31" s="7"/>
      <c r="J31" s="7"/>
      <c r="K31" s="7"/>
      <c r="M31" s="8" t="s">
        <v>27</v>
      </c>
      <c r="N31" s="8" t="str">
        <f aca="false">IF($M31="","",IF($M31=$C31,"match","OVERRIDE"))</f>
        <v>match</v>
      </c>
      <c r="O31" s="8" t="s">
        <v>33</v>
      </c>
      <c r="P31" s="8" t="str">
        <f aca="false">IF($O31="","",IF($O31=$H31,"match","OVERRIDE"))</f>
        <v>OVERRIDE</v>
      </c>
      <c r="Q31" s="8" t="s">
        <v>23</v>
      </c>
      <c r="R31" s="9" t="s">
        <v>139</v>
      </c>
    </row>
    <row r="32" customFormat="false" ht="28.5" hidden="false" customHeight="true" outlineLevel="0" collapsed="false">
      <c r="A32" s="1" t="s">
        <v>140</v>
      </c>
      <c r="B32" s="4" t="s">
        <v>141</v>
      </c>
      <c r="C32" s="5" t="s">
        <v>26</v>
      </c>
      <c r="D32" s="6"/>
      <c r="E32" s="6"/>
      <c r="F32" s="6"/>
      <c r="G32" s="4" t="s">
        <v>142</v>
      </c>
      <c r="H32" s="5" t="s">
        <v>22</v>
      </c>
      <c r="I32" s="7"/>
      <c r="J32" s="7"/>
      <c r="K32" s="7"/>
      <c r="M32" s="8" t="s">
        <v>26</v>
      </c>
      <c r="N32" s="8" t="str">
        <f aca="false">IF($M32="","",IF($M32=$C32,"match","OVERRIDE"))</f>
        <v>match</v>
      </c>
      <c r="O32" s="8" t="s">
        <v>22</v>
      </c>
      <c r="P32" s="8" t="str">
        <f aca="false">IF($O32="","",IF($O32=$H32,"match","OVERRIDE"))</f>
        <v>match</v>
      </c>
      <c r="Q32" s="8" t="s">
        <v>23</v>
      </c>
      <c r="R32" s="9"/>
    </row>
    <row r="33" customFormat="false" ht="14.25" hidden="false" customHeight="true" outlineLevel="0" collapsed="false">
      <c r="A33" s="1" t="s">
        <v>143</v>
      </c>
      <c r="B33" s="4" t="s">
        <v>144</v>
      </c>
      <c r="C33" s="5" t="s">
        <v>27</v>
      </c>
      <c r="D33" s="6"/>
      <c r="E33" s="6"/>
      <c r="F33" s="6"/>
      <c r="G33" s="4" t="s">
        <v>145</v>
      </c>
      <c r="H33" s="5" t="s">
        <v>40</v>
      </c>
      <c r="I33" s="7"/>
      <c r="J33" s="7"/>
      <c r="K33" s="7"/>
      <c r="M33" s="8" t="s">
        <v>27</v>
      </c>
      <c r="N33" s="8" t="str">
        <f aca="false">IF($M33="","",IF($M33=$C33,"match","OVERRIDE"))</f>
        <v>match</v>
      </c>
      <c r="O33" s="8" t="s">
        <v>40</v>
      </c>
      <c r="P33" s="8" t="str">
        <f aca="false">IF($O33="","",IF($O33=$H33,"match","OVERRIDE"))</f>
        <v>match</v>
      </c>
      <c r="Q33" s="8" t="s">
        <v>23</v>
      </c>
      <c r="R33" s="9"/>
    </row>
    <row r="34" customFormat="false" ht="14.25" hidden="false" customHeight="true" outlineLevel="0" collapsed="false">
      <c r="A34" s="1" t="s">
        <v>146</v>
      </c>
      <c r="B34" s="4" t="s">
        <v>147</v>
      </c>
      <c r="C34" s="5" t="s">
        <v>26</v>
      </c>
      <c r="D34" s="6"/>
      <c r="E34" s="6"/>
      <c r="F34" s="6"/>
      <c r="G34" s="4" t="s">
        <v>148</v>
      </c>
      <c r="H34" s="5" t="s">
        <v>40</v>
      </c>
      <c r="I34" s="7"/>
      <c r="J34" s="7"/>
      <c r="K34" s="7"/>
      <c r="M34" s="8" t="s">
        <v>26</v>
      </c>
      <c r="N34" s="8" t="str">
        <f aca="false">IF($M34="","",IF($M34=$C34,"match","OVERRIDE"))</f>
        <v>match</v>
      </c>
      <c r="O34" s="8" t="s">
        <v>40</v>
      </c>
      <c r="P34" s="8" t="str">
        <f aca="false">IF($O34="","",IF($O34=$H34,"match","OVERRIDE"))</f>
        <v>match</v>
      </c>
      <c r="Q34" s="8" t="s">
        <v>23</v>
      </c>
      <c r="R34" s="9"/>
    </row>
    <row r="35" customFormat="false" ht="57.75" hidden="false" customHeight="true" outlineLevel="0" collapsed="false">
      <c r="A35" s="1" t="s">
        <v>149</v>
      </c>
      <c r="B35" s="4" t="s">
        <v>150</v>
      </c>
      <c r="C35" s="5" t="s">
        <v>26</v>
      </c>
      <c r="D35" s="6"/>
      <c r="E35" s="6"/>
      <c r="F35" s="6"/>
      <c r="G35" s="4" t="s">
        <v>151</v>
      </c>
      <c r="H35" s="5" t="s">
        <v>40</v>
      </c>
      <c r="I35" s="7"/>
      <c r="J35" s="7"/>
      <c r="K35" s="7"/>
      <c r="M35" s="8" t="s">
        <v>26</v>
      </c>
      <c r="N35" s="8" t="str">
        <f aca="false">IF($M35="","",IF($M35=$C35,"match","OVERRIDE"))</f>
        <v>match</v>
      </c>
      <c r="O35" s="8" t="s">
        <v>40</v>
      </c>
      <c r="P35" s="8" t="str">
        <f aca="false">IF($O35="","",IF($O35=$H35,"match","OVERRIDE"))</f>
        <v>match</v>
      </c>
      <c r="Q35" s="8" t="s">
        <v>59</v>
      </c>
      <c r="R35" s="9" t="s">
        <v>152</v>
      </c>
    </row>
    <row r="36" customFormat="false" ht="28.5" hidden="false" customHeight="true" outlineLevel="0" collapsed="false">
      <c r="A36" s="1" t="s">
        <v>153</v>
      </c>
      <c r="B36" s="4" t="s">
        <v>154</v>
      </c>
      <c r="C36" s="5" t="s">
        <v>26</v>
      </c>
      <c r="D36" s="6"/>
      <c r="E36" s="6"/>
      <c r="F36" s="6"/>
      <c r="G36" s="4" t="s">
        <v>155</v>
      </c>
      <c r="H36" s="5" t="s">
        <v>78</v>
      </c>
      <c r="I36" s="7"/>
      <c r="J36" s="7"/>
      <c r="K36" s="7"/>
      <c r="M36" s="8" t="s">
        <v>26</v>
      </c>
      <c r="N36" s="8" t="str">
        <f aca="false">IF($M36="","",IF($M36=$C36,"match","OVERRIDE"))</f>
        <v>match</v>
      </c>
      <c r="O36" s="8" t="s">
        <v>78</v>
      </c>
      <c r="P36" s="8" t="str">
        <f aca="false">IF($O36="","",IF($O36=$H36,"match","OVERRIDE"))</f>
        <v>match</v>
      </c>
      <c r="Q36" s="8" t="s">
        <v>23</v>
      </c>
      <c r="R36" s="9"/>
    </row>
    <row r="37" customFormat="false" ht="43.5" hidden="false" customHeight="true" outlineLevel="0" collapsed="false">
      <c r="A37" s="1" t="s">
        <v>156</v>
      </c>
      <c r="B37" s="4" t="s">
        <v>157</v>
      </c>
      <c r="C37" s="5" t="s">
        <v>26</v>
      </c>
      <c r="D37" s="6"/>
      <c r="E37" s="6"/>
      <c r="F37" s="6"/>
      <c r="G37" s="4" t="s">
        <v>158</v>
      </c>
      <c r="H37" s="5" t="s">
        <v>87</v>
      </c>
      <c r="I37" s="7"/>
      <c r="J37" s="7"/>
      <c r="K37" s="7"/>
      <c r="M37" s="8" t="s">
        <v>26</v>
      </c>
      <c r="N37" s="8" t="str">
        <f aca="false">IF($M37="","",IF($M37=$C37,"match","OVERRIDE"))</f>
        <v>match</v>
      </c>
      <c r="O37" s="8" t="s">
        <v>159</v>
      </c>
      <c r="P37" s="8" t="str">
        <f aca="false">IF($O37="","",IF($O37=$H37,"match","OVERRIDE"))</f>
        <v>OVERRIDE</v>
      </c>
      <c r="Q37" s="8" t="s">
        <v>59</v>
      </c>
      <c r="R37" s="9" t="s">
        <v>160</v>
      </c>
    </row>
    <row r="38" customFormat="false" ht="57.75" hidden="false" customHeight="true" outlineLevel="0" collapsed="false">
      <c r="A38" s="1" t="s">
        <v>161</v>
      </c>
      <c r="B38" s="4" t="s">
        <v>19</v>
      </c>
      <c r="C38" s="5" t="s">
        <v>20</v>
      </c>
      <c r="D38" s="6"/>
      <c r="E38" s="6"/>
      <c r="F38" s="6"/>
      <c r="G38" s="4" t="s">
        <v>162</v>
      </c>
      <c r="H38" s="5" t="s">
        <v>22</v>
      </c>
      <c r="I38" s="7"/>
      <c r="J38" s="7"/>
      <c r="K38" s="7"/>
      <c r="M38" s="8" t="s">
        <v>20</v>
      </c>
      <c r="N38" s="8" t="str">
        <f aca="false">IF($M38="","",IF($M38=$C38,"match","OVERRIDE"))</f>
        <v>match</v>
      </c>
      <c r="O38" s="8" t="s">
        <v>22</v>
      </c>
      <c r="P38" s="8" t="str">
        <f aca="false">IF($O38="","",IF($O38=$H38,"match","OVERRIDE"))</f>
        <v>match</v>
      </c>
      <c r="Q38" s="8" t="s">
        <v>23</v>
      </c>
      <c r="R38" s="9"/>
    </row>
    <row r="39" customFormat="false" ht="54.75" hidden="false" customHeight="true" outlineLevel="0" collapsed="false">
      <c r="A39" s="1" t="s">
        <v>163</v>
      </c>
      <c r="B39" s="4" t="s">
        <v>164</v>
      </c>
      <c r="C39" s="5" t="s">
        <v>27</v>
      </c>
      <c r="D39" s="6"/>
      <c r="E39" s="6"/>
      <c r="F39" s="6"/>
      <c r="G39" s="4" t="s">
        <v>165</v>
      </c>
      <c r="H39" s="5" t="s">
        <v>33</v>
      </c>
      <c r="I39" s="7"/>
      <c r="J39" s="7"/>
      <c r="K39" s="7"/>
      <c r="M39" s="8" t="s">
        <v>27</v>
      </c>
      <c r="N39" s="8" t="str">
        <f aca="false">IF($M39="","",IF($M39=$C39,"match","OVERRIDE"))</f>
        <v>match</v>
      </c>
      <c r="O39" s="8" t="s">
        <v>166</v>
      </c>
      <c r="P39" s="8" t="str">
        <f aca="false">IF($O39="","",IF($O39=$H39,"match","OVERRIDE"))</f>
        <v>OVERRIDE</v>
      </c>
      <c r="Q39" s="8" t="s">
        <v>88</v>
      </c>
      <c r="R39" s="9" t="s">
        <v>167</v>
      </c>
    </row>
    <row r="40" customFormat="false" ht="57.75" hidden="false" customHeight="true" outlineLevel="0" collapsed="false">
      <c r="A40" s="1" t="s">
        <v>168</v>
      </c>
      <c r="B40" s="4" t="s">
        <v>169</v>
      </c>
      <c r="C40" s="5" t="s">
        <v>26</v>
      </c>
      <c r="D40" s="6"/>
      <c r="E40" s="6"/>
      <c r="F40" s="6"/>
      <c r="G40" s="4" t="s">
        <v>170</v>
      </c>
      <c r="H40" s="5" t="s">
        <v>40</v>
      </c>
      <c r="I40" s="7"/>
      <c r="J40" s="7"/>
      <c r="K40" s="7"/>
      <c r="M40" s="8" t="s">
        <v>26</v>
      </c>
      <c r="N40" s="8" t="str">
        <f aca="false">IF($M40="","",IF($M40=$C40,"match","OVERRIDE"))</f>
        <v>match</v>
      </c>
      <c r="O40" s="8" t="s">
        <v>40</v>
      </c>
      <c r="P40" s="8" t="str">
        <f aca="false">IF($O40="","",IF($O40=$H40,"match","OVERRIDE"))</f>
        <v>match</v>
      </c>
      <c r="Q40" s="8" t="s">
        <v>23</v>
      </c>
      <c r="R40" s="9"/>
    </row>
    <row r="41" customFormat="false" ht="14.25" hidden="false" customHeight="true" outlineLevel="0" collapsed="false">
      <c r="A41" s="1" t="s">
        <v>171</v>
      </c>
      <c r="B41" s="10" t="s">
        <v>172</v>
      </c>
      <c r="C41" s="5" t="s">
        <v>31</v>
      </c>
      <c r="D41" s="6"/>
      <c r="E41" s="6"/>
      <c r="F41" s="6"/>
      <c r="G41" s="10" t="s">
        <v>173</v>
      </c>
      <c r="H41" s="5"/>
      <c r="I41" s="7"/>
      <c r="J41" s="7"/>
      <c r="K41" s="7"/>
      <c r="M41" s="8" t="s">
        <v>31</v>
      </c>
      <c r="N41" s="8" t="str">
        <f aca="false">IF($M41="","",IF($M41=$C41,"match","OVERRIDE"))</f>
        <v>match</v>
      </c>
      <c r="O41" s="8" t="s">
        <v>33</v>
      </c>
      <c r="P41" s="8" t="str">
        <f aca="false">IF($O41="","",IF($O41=$H41,"match","OVERRIDE"))</f>
        <v>OVERRIDE</v>
      </c>
      <c r="Q41" s="8" t="s">
        <v>23</v>
      </c>
      <c r="R41" s="9" t="s">
        <v>174</v>
      </c>
    </row>
    <row r="42" customFormat="false" ht="23.25" hidden="false" customHeight="true" outlineLevel="0" collapsed="false">
      <c r="A42" s="1" t="s">
        <v>175</v>
      </c>
      <c r="B42" s="4" t="s">
        <v>176</v>
      </c>
      <c r="C42" s="5" t="s">
        <v>26</v>
      </c>
      <c r="D42" s="6"/>
      <c r="E42" s="6"/>
      <c r="F42" s="6"/>
      <c r="G42" s="4" t="s">
        <v>177</v>
      </c>
      <c r="H42" s="5" t="s">
        <v>22</v>
      </c>
      <c r="I42" s="7"/>
      <c r="J42" s="7"/>
      <c r="K42" s="7"/>
      <c r="M42" s="8" t="s">
        <v>26</v>
      </c>
      <c r="N42" s="8" t="str">
        <f aca="false">IF($M42="","",IF($M42=$C42,"match","OVERRIDE"))</f>
        <v>match</v>
      </c>
      <c r="O42" s="8" t="s">
        <v>22</v>
      </c>
      <c r="P42" s="8" t="str">
        <f aca="false">IF($O42="","",IF($O42=$H42,"match","OVERRIDE"))</f>
        <v>match</v>
      </c>
      <c r="Q42" s="8" t="s">
        <v>23</v>
      </c>
      <c r="R42" s="9"/>
    </row>
    <row r="43" customFormat="false" ht="14.25" hidden="false" customHeight="true" outlineLevel="0" collapsed="false">
      <c r="A43" s="1" t="s">
        <v>178</v>
      </c>
      <c r="B43" s="4" t="s">
        <v>25</v>
      </c>
      <c r="C43" s="5" t="s">
        <v>20</v>
      </c>
      <c r="D43" s="6"/>
      <c r="E43" s="6"/>
      <c r="F43" s="6"/>
      <c r="G43" s="4" t="s">
        <v>179</v>
      </c>
      <c r="H43" s="5" t="s">
        <v>50</v>
      </c>
      <c r="I43" s="7"/>
      <c r="J43" s="7"/>
      <c r="K43" s="7"/>
      <c r="M43" s="8" t="s">
        <v>20</v>
      </c>
      <c r="N43" s="8" t="str">
        <f aca="false">IF($M43="","",IF($M43=$C43,"match","OVERRIDE"))</f>
        <v>match</v>
      </c>
      <c r="O43" s="8" t="s">
        <v>50</v>
      </c>
      <c r="P43" s="8" t="str">
        <f aca="false">IF($O43="","",IF($O43=$H43,"match","OVERRIDE"))</f>
        <v>match</v>
      </c>
      <c r="Q43" s="8" t="s">
        <v>23</v>
      </c>
      <c r="R43" s="9"/>
    </row>
    <row r="44" customFormat="false" ht="28.5" hidden="false" customHeight="true" outlineLevel="0" collapsed="false">
      <c r="A44" s="1" t="s">
        <v>180</v>
      </c>
      <c r="B44" s="4" t="s">
        <v>181</v>
      </c>
      <c r="C44" s="5" t="s">
        <v>26</v>
      </c>
      <c r="D44" s="6"/>
      <c r="E44" s="6"/>
      <c r="F44" s="6"/>
      <c r="G44" s="4" t="s">
        <v>182</v>
      </c>
      <c r="H44" s="5" t="s">
        <v>40</v>
      </c>
      <c r="I44" s="7"/>
      <c r="J44" s="7"/>
      <c r="K44" s="7"/>
      <c r="M44" s="8" t="s">
        <v>26</v>
      </c>
      <c r="N44" s="8" t="str">
        <f aca="false">IF($M44="","",IF($M44=$C44,"match","OVERRIDE"))</f>
        <v>match</v>
      </c>
      <c r="O44" s="8" t="s">
        <v>40</v>
      </c>
      <c r="P44" s="8" t="str">
        <f aca="false">IF($O44="","",IF($O44=$H44,"match","OVERRIDE"))</f>
        <v>match</v>
      </c>
      <c r="Q44" s="8" t="s">
        <v>23</v>
      </c>
      <c r="R44" s="9"/>
    </row>
    <row r="45" customFormat="false" ht="14.25" hidden="false" customHeight="true" outlineLevel="0" collapsed="false">
      <c r="A45" s="1" t="s">
        <v>183</v>
      </c>
      <c r="B45" s="4" t="s">
        <v>184</v>
      </c>
      <c r="C45" s="5" t="s">
        <v>20</v>
      </c>
      <c r="D45" s="6"/>
      <c r="E45" s="6"/>
      <c r="F45" s="6"/>
      <c r="G45" s="4" t="s">
        <v>185</v>
      </c>
      <c r="H45" s="5" t="s">
        <v>22</v>
      </c>
      <c r="I45" s="7"/>
      <c r="J45" s="7"/>
      <c r="K45" s="7"/>
      <c r="M45" s="8" t="s">
        <v>20</v>
      </c>
      <c r="N45" s="8" t="str">
        <f aca="false">IF($M45="","",IF($M45=$C45,"match","OVERRIDE"))</f>
        <v>match</v>
      </c>
      <c r="O45" s="8" t="s">
        <v>22</v>
      </c>
      <c r="P45" s="8" t="str">
        <f aca="false">IF($O45="","",IF($O45=$H45,"match","OVERRIDE"))</f>
        <v>match</v>
      </c>
      <c r="Q45" s="8" t="s">
        <v>23</v>
      </c>
      <c r="R45" s="9"/>
    </row>
    <row r="46" customFormat="false" ht="14.25" hidden="false" customHeight="true" outlineLevel="0" collapsed="false">
      <c r="A46" s="1" t="s">
        <v>186</v>
      </c>
      <c r="B46" s="4" t="s">
        <v>187</v>
      </c>
      <c r="C46" s="5" t="s">
        <v>26</v>
      </c>
      <c r="D46" s="6"/>
      <c r="E46" s="6"/>
      <c r="F46" s="6"/>
      <c r="G46" s="4" t="s">
        <v>188</v>
      </c>
      <c r="H46" s="5" t="s">
        <v>189</v>
      </c>
      <c r="I46" s="7"/>
      <c r="J46" s="7"/>
      <c r="K46" s="7"/>
      <c r="M46" s="8" t="s">
        <v>26</v>
      </c>
      <c r="N46" s="8" t="str">
        <f aca="false">IF($M46="","",IF($M46=$C46,"match","OVERRIDE"))</f>
        <v>match</v>
      </c>
      <c r="O46" s="8" t="s">
        <v>189</v>
      </c>
      <c r="P46" s="8" t="str">
        <f aca="false">IF($O46="","",IF($O46=$H46,"match","OVERRIDE"))</f>
        <v>match</v>
      </c>
      <c r="Q46" s="8" t="s">
        <v>23</v>
      </c>
      <c r="R46" s="9"/>
    </row>
    <row r="47" customFormat="false" ht="115.5" hidden="false" customHeight="true" outlineLevel="0" collapsed="false">
      <c r="A47" s="1" t="s">
        <v>190</v>
      </c>
      <c r="B47" s="4" t="s">
        <v>19</v>
      </c>
      <c r="C47" s="5" t="s">
        <v>20</v>
      </c>
      <c r="D47" s="6"/>
      <c r="E47" s="6"/>
      <c r="F47" s="6"/>
      <c r="G47" s="4" t="s">
        <v>191</v>
      </c>
      <c r="H47" s="5" t="s">
        <v>40</v>
      </c>
      <c r="I47" s="7"/>
      <c r="J47" s="7"/>
      <c r="K47" s="7"/>
      <c r="M47" s="8" t="s">
        <v>20</v>
      </c>
      <c r="N47" s="8" t="str">
        <f aca="false">IF($M47="","",IF($M47=$C47,"match","OVERRIDE"))</f>
        <v>match</v>
      </c>
      <c r="O47" s="8" t="s">
        <v>40</v>
      </c>
      <c r="P47" s="8" t="str">
        <f aca="false">IF($O47="","",IF($O47=$H47,"match","OVERRIDE"))</f>
        <v>match</v>
      </c>
      <c r="Q47" s="8" t="s">
        <v>23</v>
      </c>
      <c r="R47" s="9"/>
    </row>
    <row r="48" customFormat="false" ht="28.5" hidden="false" customHeight="true" outlineLevel="0" collapsed="false">
      <c r="A48" s="1" t="s">
        <v>192</v>
      </c>
      <c r="B48" s="4" t="s">
        <v>193</v>
      </c>
      <c r="C48" s="5" t="s">
        <v>26</v>
      </c>
      <c r="D48" s="6"/>
      <c r="E48" s="6"/>
      <c r="F48" s="6"/>
      <c r="G48" s="4" t="s">
        <v>194</v>
      </c>
      <c r="H48" s="5" t="s">
        <v>46</v>
      </c>
      <c r="I48" s="7"/>
      <c r="J48" s="7"/>
      <c r="K48" s="7"/>
      <c r="M48" s="8" t="s">
        <v>26</v>
      </c>
      <c r="N48" s="8" t="str">
        <f aca="false">IF($M48="","",IF($M48=$C48,"match","OVERRIDE"))</f>
        <v>match</v>
      </c>
      <c r="O48" s="8" t="s">
        <v>46</v>
      </c>
      <c r="P48" s="8" t="str">
        <f aca="false">IF($O48="","",IF($O48=$H48,"match","OVERRIDE"))</f>
        <v>match</v>
      </c>
      <c r="Q48" s="8" t="s">
        <v>23</v>
      </c>
      <c r="R48" s="9"/>
    </row>
    <row r="49" customFormat="false" ht="28.5" hidden="false" customHeight="true" outlineLevel="0" collapsed="false">
      <c r="A49" s="1" t="s">
        <v>195</v>
      </c>
      <c r="B49" s="4" t="s">
        <v>196</v>
      </c>
      <c r="C49" s="5" t="s">
        <v>20</v>
      </c>
      <c r="D49" s="6"/>
      <c r="E49" s="6"/>
      <c r="F49" s="6"/>
      <c r="G49" s="4" t="s">
        <v>197</v>
      </c>
      <c r="H49" s="5" t="s">
        <v>22</v>
      </c>
      <c r="I49" s="7"/>
      <c r="J49" s="7"/>
      <c r="K49" s="7"/>
      <c r="M49" s="8" t="s">
        <v>20</v>
      </c>
      <c r="N49" s="8" t="str">
        <f aca="false">IF($M49="","",IF($M49=$C49,"match","OVERRIDE"))</f>
        <v>match</v>
      </c>
      <c r="O49" s="8" t="s">
        <v>22</v>
      </c>
      <c r="P49" s="8" t="str">
        <f aca="false">IF($O49="","",IF($O49=$H49,"match","OVERRIDE"))</f>
        <v>match</v>
      </c>
      <c r="Q49" s="8" t="s">
        <v>23</v>
      </c>
      <c r="R49" s="9"/>
    </row>
    <row r="50" customFormat="false" ht="28.5" hidden="false" customHeight="true" outlineLevel="0" collapsed="false">
      <c r="A50" s="1" t="s">
        <v>198</v>
      </c>
      <c r="B50" s="4" t="s">
        <v>66</v>
      </c>
      <c r="C50" s="5" t="s">
        <v>27</v>
      </c>
      <c r="D50" s="6"/>
      <c r="E50" s="6"/>
      <c r="F50" s="6"/>
      <c r="G50" s="4" t="s">
        <v>199</v>
      </c>
      <c r="H50" s="5" t="s">
        <v>58</v>
      </c>
      <c r="I50" s="7"/>
      <c r="J50" s="7"/>
      <c r="K50" s="7"/>
      <c r="M50" s="8" t="s">
        <v>27</v>
      </c>
      <c r="N50" s="8" t="str">
        <f aca="false">IF($M50="","",IF($M50=$C50,"match","OVERRIDE"))</f>
        <v>match</v>
      </c>
      <c r="O50" s="8" t="s">
        <v>58</v>
      </c>
      <c r="P50" s="8" t="str">
        <f aca="false">IF($O50="","",IF($O50=$H50,"match","OVERRIDE"))</f>
        <v>match</v>
      </c>
      <c r="Q50" s="8" t="s">
        <v>23</v>
      </c>
      <c r="R50" s="9"/>
    </row>
    <row r="51" customFormat="false" ht="14.25" hidden="false" customHeight="true" outlineLevel="0" collapsed="false">
      <c r="A51" s="1" t="s">
        <v>200</v>
      </c>
      <c r="B51" s="4" t="s">
        <v>201</v>
      </c>
      <c r="C51" s="5" t="s">
        <v>26</v>
      </c>
      <c r="D51" s="6"/>
      <c r="E51" s="6"/>
      <c r="F51" s="6"/>
      <c r="G51" s="4" t="s">
        <v>202</v>
      </c>
      <c r="H51" s="5" t="s">
        <v>40</v>
      </c>
      <c r="I51" s="7"/>
      <c r="J51" s="7"/>
      <c r="K51" s="7"/>
      <c r="M51" s="8" t="s">
        <v>26</v>
      </c>
      <c r="N51" s="8" t="str">
        <f aca="false">IF($M51="","",IF($M51=$C51,"match","OVERRIDE"))</f>
        <v>match</v>
      </c>
      <c r="O51" s="8" t="s">
        <v>40</v>
      </c>
      <c r="P51" s="8" t="str">
        <f aca="false">IF($O51="","",IF($O51=$H51,"match","OVERRIDE"))</f>
        <v>match</v>
      </c>
      <c r="Q51" s="8" t="s">
        <v>23</v>
      </c>
      <c r="R51" s="9"/>
    </row>
    <row r="52" customFormat="false" ht="41.25" hidden="false" customHeight="true" outlineLevel="0" collapsed="false">
      <c r="A52" s="1" t="s">
        <v>203</v>
      </c>
      <c r="B52" s="4" t="s">
        <v>204</v>
      </c>
      <c r="C52" s="5" t="s">
        <v>31</v>
      </c>
      <c r="D52" s="6"/>
      <c r="E52" s="6"/>
      <c r="F52" s="6"/>
      <c r="G52" s="10" t="s">
        <v>205</v>
      </c>
      <c r="H52" s="5" t="s">
        <v>40</v>
      </c>
      <c r="I52" s="7"/>
      <c r="J52" s="7"/>
      <c r="K52" s="7"/>
      <c r="M52" s="8" t="s">
        <v>26</v>
      </c>
      <c r="N52" s="8" t="str">
        <f aca="false">IF($M52="","",IF($M52=$C52,"match","OVERRIDE"))</f>
        <v>OVERRIDE</v>
      </c>
      <c r="O52" s="8" t="s">
        <v>40</v>
      </c>
      <c r="P52" s="8" t="str">
        <f aca="false">IF($O52="","",IF($O52=$H52,"match","OVERRIDE"))</f>
        <v>match</v>
      </c>
      <c r="Q52" s="8" t="s">
        <v>23</v>
      </c>
      <c r="R52" s="9" t="s">
        <v>206</v>
      </c>
    </row>
    <row r="53" customFormat="false" ht="28.5" hidden="false" customHeight="true" outlineLevel="0" collapsed="false">
      <c r="A53" s="1" t="s">
        <v>207</v>
      </c>
      <c r="B53" s="4" t="s">
        <v>208</v>
      </c>
      <c r="C53" s="5" t="s">
        <v>26</v>
      </c>
      <c r="D53" s="6"/>
      <c r="E53" s="6"/>
      <c r="F53" s="6"/>
      <c r="G53" s="4" t="s">
        <v>209</v>
      </c>
      <c r="H53" s="5" t="s">
        <v>40</v>
      </c>
      <c r="I53" s="7"/>
      <c r="J53" s="7"/>
      <c r="K53" s="7"/>
      <c r="M53" s="8" t="s">
        <v>26</v>
      </c>
      <c r="N53" s="8" t="str">
        <f aca="false">IF($M53="","",IF($M53=$C53,"match","OVERRIDE"))</f>
        <v>match</v>
      </c>
      <c r="O53" s="8" t="s">
        <v>40</v>
      </c>
      <c r="P53" s="8" t="str">
        <f aca="false">IF($O53="","",IF($O53=$H53,"match","OVERRIDE"))</f>
        <v>match</v>
      </c>
      <c r="Q53" s="8" t="s">
        <v>59</v>
      </c>
      <c r="R53" s="9" t="s">
        <v>210</v>
      </c>
    </row>
    <row r="54" customFormat="false" ht="87" hidden="false" customHeight="true" outlineLevel="0" collapsed="false">
      <c r="A54" s="1" t="s">
        <v>211</v>
      </c>
      <c r="B54" s="4" t="s">
        <v>212</v>
      </c>
      <c r="C54" s="5" t="s">
        <v>26</v>
      </c>
      <c r="D54" s="6"/>
      <c r="E54" s="6"/>
      <c r="F54" s="6"/>
      <c r="G54" s="4" t="s">
        <v>213</v>
      </c>
      <c r="H54" s="5" t="s">
        <v>214</v>
      </c>
      <c r="I54" s="7"/>
      <c r="J54" s="7"/>
      <c r="K54" s="7"/>
      <c r="M54" s="8" t="s">
        <v>26</v>
      </c>
      <c r="N54" s="8" t="str">
        <f aca="false">IF($M54="","",IF($M54=$C54,"match","OVERRIDE"))</f>
        <v>match</v>
      </c>
      <c r="O54" s="8" t="s">
        <v>214</v>
      </c>
      <c r="P54" s="8" t="str">
        <f aca="false">IF($O54="","",IF($O54=$H54,"match","OVERRIDE"))</f>
        <v>match</v>
      </c>
      <c r="Q54" s="8" t="s">
        <v>23</v>
      </c>
      <c r="R54" s="9"/>
    </row>
    <row r="55" customFormat="false" ht="14.25" hidden="false" customHeight="true" outlineLevel="0" collapsed="false">
      <c r="A55" s="1" t="s">
        <v>215</v>
      </c>
      <c r="B55" s="4" t="s">
        <v>66</v>
      </c>
      <c r="C55" s="5" t="s">
        <v>27</v>
      </c>
      <c r="D55" s="6"/>
      <c r="E55" s="6"/>
      <c r="F55" s="6"/>
      <c r="G55" s="4" t="s">
        <v>216</v>
      </c>
      <c r="H55" s="5" t="s">
        <v>33</v>
      </c>
      <c r="I55" s="7"/>
      <c r="J55" s="7"/>
      <c r="K55" s="7"/>
      <c r="M55" s="8" t="s">
        <v>27</v>
      </c>
      <c r="N55" s="8" t="str">
        <f aca="false">IF($M55="","",IF($M55=$C55,"match","OVERRIDE"))</f>
        <v>match</v>
      </c>
      <c r="O55" s="8" t="s">
        <v>33</v>
      </c>
      <c r="P55" s="8" t="str">
        <f aca="false">IF($O55="","",IF($O55=$H55,"match","OVERRIDE"))</f>
        <v>match</v>
      </c>
      <c r="Q55" s="8" t="s">
        <v>23</v>
      </c>
      <c r="R55" s="9"/>
    </row>
    <row r="56" customFormat="false" ht="14.25" hidden="false" customHeight="true" outlineLevel="0" collapsed="false">
      <c r="A56" s="1" t="s">
        <v>217</v>
      </c>
      <c r="B56" s="4" t="s">
        <v>218</v>
      </c>
      <c r="C56" s="5" t="s">
        <v>27</v>
      </c>
      <c r="D56" s="6"/>
      <c r="E56" s="6"/>
      <c r="F56" s="6"/>
      <c r="G56" s="4" t="s">
        <v>219</v>
      </c>
      <c r="H56" s="5" t="s">
        <v>58</v>
      </c>
      <c r="I56" s="7"/>
      <c r="J56" s="7"/>
      <c r="K56" s="7"/>
      <c r="M56" s="8" t="s">
        <v>27</v>
      </c>
      <c r="N56" s="8" t="str">
        <f aca="false">IF($M56="","",IF($M56=$C56,"match","OVERRIDE"))</f>
        <v>match</v>
      </c>
      <c r="O56" s="8" t="s">
        <v>58</v>
      </c>
      <c r="P56" s="8" t="str">
        <f aca="false">IF($O56="","",IF($O56=$H56,"match","OVERRIDE"))</f>
        <v>match</v>
      </c>
      <c r="Q56" s="8" t="s">
        <v>23</v>
      </c>
      <c r="R56" s="9"/>
    </row>
    <row r="57" customFormat="false" ht="14.25" hidden="false" customHeight="true" outlineLevel="0" collapsed="false">
      <c r="A57" s="1" t="s">
        <v>220</v>
      </c>
      <c r="B57" s="4" t="s">
        <v>221</v>
      </c>
      <c r="C57" s="5" t="s">
        <v>20</v>
      </c>
      <c r="D57" s="6"/>
      <c r="E57" s="6"/>
      <c r="F57" s="6"/>
      <c r="G57" s="4" t="s">
        <v>222</v>
      </c>
      <c r="H57" s="5" t="s">
        <v>40</v>
      </c>
      <c r="I57" s="7"/>
      <c r="J57" s="7"/>
      <c r="K57" s="7"/>
      <c r="M57" s="8" t="s">
        <v>20</v>
      </c>
      <c r="N57" s="8" t="str">
        <f aca="false">IF($M57="","",IF($M57=$C57,"match","OVERRIDE"))</f>
        <v>match</v>
      </c>
      <c r="O57" s="8" t="s">
        <v>40</v>
      </c>
      <c r="P57" s="8" t="str">
        <f aca="false">IF($O57="","",IF($O57=$H57,"match","OVERRIDE"))</f>
        <v>match</v>
      </c>
      <c r="Q57" s="8" t="s">
        <v>23</v>
      </c>
      <c r="R57" s="9"/>
    </row>
    <row r="58" customFormat="false" ht="14.25" hidden="false" customHeight="true" outlineLevel="0" collapsed="false">
      <c r="A58" s="1" t="s">
        <v>223</v>
      </c>
      <c r="B58" s="4" t="s">
        <v>224</v>
      </c>
      <c r="C58" s="5" t="s">
        <v>31</v>
      </c>
      <c r="D58" s="6"/>
      <c r="E58" s="6"/>
      <c r="F58" s="6"/>
      <c r="G58" s="4" t="s">
        <v>225</v>
      </c>
      <c r="H58" s="5" t="s">
        <v>78</v>
      </c>
      <c r="I58" s="7"/>
      <c r="J58" s="7"/>
      <c r="K58" s="7"/>
      <c r="M58" s="8" t="s">
        <v>31</v>
      </c>
      <c r="N58" s="8" t="str">
        <f aca="false">IF($M58="","",IF($M58=$C58,"match","OVERRIDE"))</f>
        <v>match</v>
      </c>
      <c r="O58" s="8" t="s">
        <v>78</v>
      </c>
      <c r="P58" s="8" t="str">
        <f aca="false">IF($O58="","",IF($O58=$H58,"match","OVERRIDE"))</f>
        <v>match</v>
      </c>
      <c r="Q58" s="8" t="s">
        <v>23</v>
      </c>
      <c r="R58" s="9"/>
    </row>
    <row r="59" customFormat="false" ht="27.75" hidden="false" customHeight="true" outlineLevel="0" collapsed="false">
      <c r="A59" s="1" t="s">
        <v>226</v>
      </c>
      <c r="B59" s="4" t="s">
        <v>227</v>
      </c>
      <c r="C59" s="5" t="s">
        <v>31</v>
      </c>
      <c r="D59" s="6"/>
      <c r="E59" s="6"/>
      <c r="F59" s="6"/>
      <c r="G59" s="4" t="s">
        <v>228</v>
      </c>
      <c r="H59" s="5" t="s">
        <v>22</v>
      </c>
      <c r="I59" s="7"/>
      <c r="J59" s="7"/>
      <c r="K59" s="7"/>
      <c r="M59" s="8" t="s">
        <v>26</v>
      </c>
      <c r="N59" s="8" t="str">
        <f aca="false">IF($M59="","",IF($M59=$C59,"match","OVERRIDE"))</f>
        <v>OVERRIDE</v>
      </c>
      <c r="O59" s="8" t="s">
        <v>22</v>
      </c>
      <c r="P59" s="8" t="str">
        <f aca="false">IF($O59="","",IF($O59=$H59,"match","OVERRIDE"))</f>
        <v>match</v>
      </c>
      <c r="Q59" s="8" t="s">
        <v>23</v>
      </c>
      <c r="R59" s="9" t="s">
        <v>229</v>
      </c>
    </row>
    <row r="60" customFormat="false" ht="14.25" hidden="false" customHeight="true" outlineLevel="0" collapsed="false">
      <c r="A60" s="1" t="s">
        <v>230</v>
      </c>
      <c r="B60" s="4" t="s">
        <v>231</v>
      </c>
      <c r="C60" s="5" t="s">
        <v>20</v>
      </c>
      <c r="D60" s="6"/>
      <c r="E60" s="6"/>
      <c r="F60" s="6"/>
      <c r="G60" s="4" t="s">
        <v>232</v>
      </c>
      <c r="H60" s="5" t="s">
        <v>22</v>
      </c>
      <c r="I60" s="7"/>
      <c r="J60" s="7"/>
      <c r="K60" s="7"/>
      <c r="M60" s="8" t="s">
        <v>20</v>
      </c>
      <c r="N60" s="8" t="str">
        <f aca="false">IF($M60="","",IF($M60=$C60,"match","OVERRIDE"))</f>
        <v>match</v>
      </c>
      <c r="O60" s="8" t="s">
        <v>22</v>
      </c>
      <c r="P60" s="8" t="str">
        <f aca="false">IF($O60="","",IF($O60=$H60,"match","OVERRIDE"))</f>
        <v>match</v>
      </c>
      <c r="Q60" s="8" t="s">
        <v>23</v>
      </c>
      <c r="R60" s="9"/>
    </row>
    <row r="61" customFormat="false" ht="28.5" hidden="false" customHeight="true" outlineLevel="0" collapsed="false">
      <c r="A61" s="1" t="s">
        <v>233</v>
      </c>
      <c r="B61" s="4" t="s">
        <v>234</v>
      </c>
      <c r="C61" s="5" t="s">
        <v>27</v>
      </c>
      <c r="D61" s="6"/>
      <c r="E61" s="6"/>
      <c r="F61" s="6"/>
      <c r="G61" s="4" t="s">
        <v>235</v>
      </c>
      <c r="H61" s="5" t="s">
        <v>40</v>
      </c>
      <c r="I61" s="7"/>
      <c r="J61" s="7"/>
      <c r="K61" s="7"/>
      <c r="M61" s="8" t="s">
        <v>27</v>
      </c>
      <c r="N61" s="8" t="str">
        <f aca="false">IF($M61="","",IF($M61=$C61,"match","OVERRIDE"))</f>
        <v>match</v>
      </c>
      <c r="O61" s="8" t="s">
        <v>40</v>
      </c>
      <c r="P61" s="8" t="str">
        <f aca="false">IF($O61="","",IF($O61=$H61,"match","OVERRIDE"))</f>
        <v>match</v>
      </c>
      <c r="Q61" s="8" t="s">
        <v>23</v>
      </c>
      <c r="R61" s="9"/>
    </row>
    <row r="62" customFormat="false" ht="28.5" hidden="false" customHeight="true" outlineLevel="0" collapsed="false">
      <c r="A62" s="1" t="s">
        <v>236</v>
      </c>
      <c r="B62" s="4" t="s">
        <v>237</v>
      </c>
      <c r="C62" s="5" t="s">
        <v>26</v>
      </c>
      <c r="D62" s="6"/>
      <c r="E62" s="6"/>
      <c r="F62" s="6"/>
      <c r="G62" s="4" t="s">
        <v>238</v>
      </c>
      <c r="H62" s="5" t="s">
        <v>239</v>
      </c>
      <c r="I62" s="7"/>
      <c r="J62" s="7"/>
      <c r="K62" s="7"/>
      <c r="M62" s="8" t="s">
        <v>26</v>
      </c>
      <c r="N62" s="8" t="str">
        <f aca="false">IF($M62="","",IF($M62=$C62,"match","OVERRIDE"))</f>
        <v>match</v>
      </c>
      <c r="O62" s="8" t="s">
        <v>50</v>
      </c>
      <c r="P62" s="8" t="str">
        <f aca="false">IF($O62="","",IF($O62=$H62,"match","OVERRIDE"))</f>
        <v>OVERRIDE</v>
      </c>
      <c r="Q62" s="8" t="s">
        <v>59</v>
      </c>
      <c r="R62" s="9" t="s">
        <v>240</v>
      </c>
    </row>
    <row r="63" customFormat="false" ht="57.75" hidden="false" customHeight="true" outlineLevel="0" collapsed="false">
      <c r="A63" s="1" t="s">
        <v>241</v>
      </c>
      <c r="B63" s="4" t="s">
        <v>242</v>
      </c>
      <c r="C63" s="5" t="s">
        <v>26</v>
      </c>
      <c r="D63" s="6"/>
      <c r="E63" s="6"/>
      <c r="F63" s="6"/>
      <c r="G63" s="4" t="s">
        <v>243</v>
      </c>
      <c r="H63" s="5" t="s">
        <v>22</v>
      </c>
      <c r="I63" s="7"/>
      <c r="J63" s="7"/>
      <c r="K63" s="7"/>
      <c r="M63" s="8" t="s">
        <v>26</v>
      </c>
      <c r="N63" s="8" t="str">
        <f aca="false">IF($M63="","",IF($M63=$C63,"match","OVERRIDE"))</f>
        <v>match</v>
      </c>
      <c r="O63" s="8" t="s">
        <v>40</v>
      </c>
      <c r="P63" s="8" t="str">
        <f aca="false">IF($O63="","",IF($O63=$H63,"match","OVERRIDE"))</f>
        <v>OVERRIDE</v>
      </c>
      <c r="Q63" s="8" t="s">
        <v>88</v>
      </c>
      <c r="R63" s="9" t="s">
        <v>244</v>
      </c>
    </row>
    <row r="64" customFormat="false" ht="87" hidden="false" customHeight="true" outlineLevel="0" collapsed="false">
      <c r="A64" s="1" t="s">
        <v>245</v>
      </c>
      <c r="B64" s="4" t="s">
        <v>246</v>
      </c>
      <c r="C64" s="5" t="s">
        <v>26</v>
      </c>
      <c r="D64" s="6"/>
      <c r="E64" s="6"/>
      <c r="F64" s="6"/>
      <c r="G64" s="4" t="s">
        <v>247</v>
      </c>
      <c r="H64" s="5" t="s">
        <v>83</v>
      </c>
      <c r="I64" s="7"/>
      <c r="J64" s="7"/>
      <c r="K64" s="7"/>
      <c r="M64" s="8" t="s">
        <v>26</v>
      </c>
      <c r="N64" s="8" t="str">
        <f aca="false">IF($M64="","",IF($M64=$C64,"match","OVERRIDE"))</f>
        <v>match</v>
      </c>
      <c r="O64" s="8" t="s">
        <v>83</v>
      </c>
      <c r="P64" s="8" t="str">
        <f aca="false">IF($O64="","",IF($O64=$H64,"match","OVERRIDE"))</f>
        <v>match</v>
      </c>
      <c r="Q64" s="8" t="s">
        <v>23</v>
      </c>
      <c r="R64" s="9"/>
    </row>
    <row r="65" customFormat="false" ht="27.75" hidden="false" customHeight="true" outlineLevel="0" collapsed="false">
      <c r="A65" s="1" t="s">
        <v>248</v>
      </c>
      <c r="B65" s="4" t="s">
        <v>249</v>
      </c>
      <c r="C65" s="5" t="s">
        <v>31</v>
      </c>
      <c r="D65" s="6"/>
      <c r="E65" s="6"/>
      <c r="F65" s="6"/>
      <c r="G65" s="4" t="s">
        <v>250</v>
      </c>
      <c r="H65" s="5" t="s">
        <v>22</v>
      </c>
      <c r="I65" s="7"/>
      <c r="J65" s="7"/>
      <c r="K65" s="7"/>
      <c r="M65" s="8" t="s">
        <v>31</v>
      </c>
      <c r="N65" s="8" t="str">
        <f aca="false">IF($M65="","",IF($M65=$C65,"match","OVERRIDE"))</f>
        <v>match</v>
      </c>
      <c r="O65" s="8" t="s">
        <v>22</v>
      </c>
      <c r="P65" s="8" t="str">
        <f aca="false">IF($O65="","",IF($O65=$H65,"match","OVERRIDE"))</f>
        <v>match</v>
      </c>
      <c r="Q65" s="8" t="s">
        <v>59</v>
      </c>
      <c r="R65" s="9" t="s">
        <v>251</v>
      </c>
    </row>
    <row r="66" customFormat="false" ht="27.75" hidden="false" customHeight="true" outlineLevel="0" collapsed="false">
      <c r="A66" s="1" t="s">
        <v>252</v>
      </c>
      <c r="B66" s="4" t="s">
        <v>19</v>
      </c>
      <c r="C66" s="5" t="s">
        <v>20</v>
      </c>
      <c r="D66" s="6"/>
      <c r="E66" s="6"/>
      <c r="F66" s="6"/>
      <c r="G66" s="4" t="s">
        <v>253</v>
      </c>
      <c r="H66" s="5" t="s">
        <v>22</v>
      </c>
      <c r="I66" s="7"/>
      <c r="J66" s="7"/>
      <c r="K66" s="7"/>
      <c r="M66" s="8" t="s">
        <v>20</v>
      </c>
      <c r="N66" s="8" t="str">
        <f aca="false">IF($M66="","",IF($M66=$C66,"match","OVERRIDE"))</f>
        <v>match</v>
      </c>
      <c r="O66" s="8" t="s">
        <v>40</v>
      </c>
      <c r="P66" s="8" t="str">
        <f aca="false">IF($O66="","",IF($O66=$H66,"match","OVERRIDE"))</f>
        <v>OVERRIDE</v>
      </c>
      <c r="Q66" s="8" t="s">
        <v>88</v>
      </c>
      <c r="R66" s="9" t="s">
        <v>254</v>
      </c>
    </row>
    <row r="67" customFormat="false" ht="28.5" hidden="false" customHeight="true" outlineLevel="0" collapsed="false">
      <c r="A67" s="1" t="s">
        <v>255</v>
      </c>
      <c r="B67" s="4" t="s">
        <v>256</v>
      </c>
      <c r="C67" s="5" t="s">
        <v>27</v>
      </c>
      <c r="D67" s="6"/>
      <c r="E67" s="6"/>
      <c r="F67" s="6"/>
      <c r="G67" s="4" t="s">
        <v>257</v>
      </c>
      <c r="H67" s="5" t="s">
        <v>22</v>
      </c>
      <c r="I67" s="7"/>
      <c r="J67" s="7"/>
      <c r="K67" s="7"/>
      <c r="M67" s="8" t="s">
        <v>27</v>
      </c>
      <c r="N67" s="8" t="str">
        <f aca="false">IF($M67="","",IF($M67=$C67,"match","OVERRIDE"))</f>
        <v>match</v>
      </c>
      <c r="O67" s="8" t="s">
        <v>22</v>
      </c>
      <c r="P67" s="8" t="str">
        <f aca="false">IF($O67="","",IF($O67=$H67,"match","OVERRIDE"))</f>
        <v>match</v>
      </c>
      <c r="Q67" s="8" t="s">
        <v>23</v>
      </c>
      <c r="R67" s="9"/>
    </row>
    <row r="68" customFormat="false" ht="14.25" hidden="false" customHeight="true" outlineLevel="0" collapsed="false">
      <c r="A68" s="1" t="s">
        <v>258</v>
      </c>
      <c r="B68" s="4" t="s">
        <v>259</v>
      </c>
      <c r="C68" s="5" t="s">
        <v>26</v>
      </c>
      <c r="D68" s="6"/>
      <c r="E68" s="6"/>
      <c r="F68" s="6"/>
      <c r="G68" s="4" t="s">
        <v>260</v>
      </c>
      <c r="H68" s="5" t="s">
        <v>46</v>
      </c>
      <c r="I68" s="7"/>
      <c r="J68" s="7"/>
      <c r="K68" s="7"/>
      <c r="M68" s="8" t="s">
        <v>26</v>
      </c>
      <c r="N68" s="8" t="str">
        <f aca="false">IF($M68="","",IF($M68=$C68,"match","OVERRIDE"))</f>
        <v>match</v>
      </c>
      <c r="O68" s="8" t="s">
        <v>46</v>
      </c>
      <c r="P68" s="8" t="str">
        <f aca="false">IF($O68="","",IF($O68=$H68,"match","OVERRIDE"))</f>
        <v>match</v>
      </c>
      <c r="Q68" s="8" t="s">
        <v>23</v>
      </c>
      <c r="R68" s="9"/>
    </row>
    <row r="69" customFormat="false" ht="14.25" hidden="false" customHeight="true" outlineLevel="0" collapsed="false">
      <c r="A69" s="1" t="s">
        <v>261</v>
      </c>
      <c r="B69" s="4" t="s">
        <v>262</v>
      </c>
      <c r="C69" s="5" t="s">
        <v>31</v>
      </c>
      <c r="D69" s="6"/>
      <c r="E69" s="6"/>
      <c r="F69" s="6"/>
      <c r="G69" s="4" t="s">
        <v>263</v>
      </c>
      <c r="H69" s="5" t="s">
        <v>264</v>
      </c>
      <c r="I69" s="7"/>
      <c r="J69" s="7"/>
      <c r="K69" s="7"/>
      <c r="M69" s="8" t="s">
        <v>31</v>
      </c>
      <c r="N69" s="8" t="str">
        <f aca="false">IF($M69="","",IF($M69=$C69,"match","OVERRIDE"))</f>
        <v>match</v>
      </c>
      <c r="O69" s="8" t="s">
        <v>264</v>
      </c>
      <c r="P69" s="8" t="str">
        <f aca="false">IF($O69="","",IF($O69=$H69,"match","OVERRIDE"))</f>
        <v>match</v>
      </c>
      <c r="Q69" s="8" t="s">
        <v>23</v>
      </c>
      <c r="R69" s="9"/>
    </row>
    <row r="70" customFormat="false" ht="14.25" hidden="false" customHeight="true" outlineLevel="0" collapsed="false">
      <c r="A70" s="1" t="s">
        <v>265</v>
      </c>
      <c r="B70" s="4" t="s">
        <v>266</v>
      </c>
      <c r="C70" s="5" t="s">
        <v>26</v>
      </c>
      <c r="D70" s="6"/>
      <c r="E70" s="6"/>
      <c r="F70" s="6"/>
      <c r="G70" s="4" t="s">
        <v>267</v>
      </c>
      <c r="H70" s="5" t="s">
        <v>22</v>
      </c>
      <c r="I70" s="7"/>
      <c r="J70" s="7"/>
      <c r="K70" s="7"/>
      <c r="M70" s="8" t="s">
        <v>26</v>
      </c>
      <c r="N70" s="8" t="str">
        <f aca="false">IF($M70="","",IF($M70=$C70,"match","OVERRIDE"))</f>
        <v>match</v>
      </c>
      <c r="O70" s="8" t="s">
        <v>46</v>
      </c>
      <c r="P70" s="8" t="str">
        <f aca="false">IF($O70="","",IF($O70=$H70,"match","OVERRIDE"))</f>
        <v>OVERRIDE</v>
      </c>
      <c r="Q70" s="8" t="s">
        <v>23</v>
      </c>
      <c r="R70" s="9" t="s">
        <v>268</v>
      </c>
    </row>
    <row r="71" customFormat="false" ht="14.25" hidden="false" customHeight="true" outlineLevel="0" collapsed="false">
      <c r="A71" s="1" t="s">
        <v>269</v>
      </c>
      <c r="B71" s="4" t="s">
        <v>66</v>
      </c>
      <c r="C71" s="5" t="s">
        <v>27</v>
      </c>
      <c r="D71" s="6"/>
      <c r="E71" s="6"/>
      <c r="F71" s="6"/>
      <c r="G71" s="4" t="s">
        <v>270</v>
      </c>
      <c r="H71" s="5" t="s">
        <v>33</v>
      </c>
      <c r="I71" s="7"/>
      <c r="J71" s="7"/>
      <c r="K71" s="7"/>
      <c r="M71" s="8" t="s">
        <v>27</v>
      </c>
      <c r="N71" s="8" t="str">
        <f aca="false">IF($M71="","",IF($M71=$C71,"match","OVERRIDE"))</f>
        <v>match</v>
      </c>
      <c r="O71" s="8" t="s">
        <v>33</v>
      </c>
      <c r="P71" s="8" t="str">
        <f aca="false">IF($O71="","",IF($O71=$H71,"match","OVERRIDE"))</f>
        <v>match</v>
      </c>
      <c r="Q71" s="8" t="s">
        <v>59</v>
      </c>
      <c r="R71" s="9" t="s">
        <v>271</v>
      </c>
    </row>
    <row r="72" customFormat="false" ht="28.5" hidden="false" customHeight="true" outlineLevel="0" collapsed="false">
      <c r="A72" s="1" t="s">
        <v>272</v>
      </c>
      <c r="B72" s="4" t="s">
        <v>273</v>
      </c>
      <c r="C72" s="5" t="s">
        <v>20</v>
      </c>
      <c r="D72" s="6"/>
      <c r="E72" s="6"/>
      <c r="F72" s="6"/>
      <c r="G72" s="4" t="s">
        <v>274</v>
      </c>
      <c r="H72" s="5" t="s">
        <v>275</v>
      </c>
      <c r="I72" s="7"/>
      <c r="J72" s="7"/>
      <c r="K72" s="7"/>
      <c r="M72" s="8" t="s">
        <v>20</v>
      </c>
      <c r="N72" s="8" t="str">
        <f aca="false">IF($M72="","",IF($M72=$C72,"match","OVERRIDE"))</f>
        <v>match</v>
      </c>
      <c r="O72" s="8" t="s">
        <v>22</v>
      </c>
      <c r="P72" s="8" t="str">
        <f aca="false">IF($O72="","",IF($O72=$H72,"match","OVERRIDE"))</f>
        <v>OVERRIDE</v>
      </c>
      <c r="Q72" s="8" t="s">
        <v>23</v>
      </c>
      <c r="R72" s="9" t="s">
        <v>276</v>
      </c>
    </row>
    <row r="73" customFormat="false" ht="14.25" hidden="false" customHeight="true" outlineLevel="0" collapsed="false">
      <c r="A73" s="1" t="s">
        <v>277</v>
      </c>
      <c r="B73" s="4" t="s">
        <v>278</v>
      </c>
      <c r="C73" s="5" t="s">
        <v>27</v>
      </c>
      <c r="D73" s="6"/>
      <c r="E73" s="6"/>
      <c r="F73" s="6"/>
      <c r="G73" s="4" t="s">
        <v>279</v>
      </c>
      <c r="H73" s="5" t="s">
        <v>46</v>
      </c>
      <c r="I73" s="7"/>
      <c r="J73" s="7"/>
      <c r="K73" s="7"/>
      <c r="M73" s="8" t="s">
        <v>27</v>
      </c>
      <c r="N73" s="8" t="str">
        <f aca="false">IF($M73="","",IF($M73=$C73,"match","OVERRIDE"))</f>
        <v>match</v>
      </c>
      <c r="O73" s="8" t="s">
        <v>46</v>
      </c>
      <c r="P73" s="8" t="str">
        <f aca="false">IF($O73="","",IF($O73=$H73,"match","OVERRIDE"))</f>
        <v>match</v>
      </c>
      <c r="Q73" s="8" t="s">
        <v>23</v>
      </c>
      <c r="R73" s="9"/>
    </row>
    <row r="74" customFormat="false" ht="43.5" hidden="false" customHeight="true" outlineLevel="0" collapsed="false">
      <c r="A74" s="1" t="s">
        <v>280</v>
      </c>
      <c r="B74" s="4" t="s">
        <v>281</v>
      </c>
      <c r="C74" s="5" t="s">
        <v>26</v>
      </c>
      <c r="D74" s="6"/>
      <c r="E74" s="6"/>
      <c r="F74" s="6"/>
      <c r="G74" s="4" t="s">
        <v>282</v>
      </c>
      <c r="H74" s="5" t="s">
        <v>214</v>
      </c>
      <c r="I74" s="7"/>
      <c r="J74" s="7"/>
      <c r="K74" s="7"/>
      <c r="M74" s="8" t="s">
        <v>26</v>
      </c>
      <c r="N74" s="8" t="str">
        <f aca="false">IF($M74="","",IF($M74=$C74,"match","OVERRIDE"))</f>
        <v>match</v>
      </c>
      <c r="O74" s="8" t="s">
        <v>214</v>
      </c>
      <c r="P74" s="8" t="str">
        <f aca="false">IF($O74="","",IF($O74=$H74,"match","OVERRIDE"))</f>
        <v>match</v>
      </c>
      <c r="Q74" s="8" t="s">
        <v>23</v>
      </c>
      <c r="R74" s="9"/>
    </row>
    <row r="75" customFormat="false" ht="43.5" hidden="false" customHeight="true" outlineLevel="0" collapsed="false">
      <c r="A75" s="1" t="s">
        <v>283</v>
      </c>
      <c r="B75" s="4" t="s">
        <v>284</v>
      </c>
      <c r="C75" s="5" t="s">
        <v>26</v>
      </c>
      <c r="D75" s="6"/>
      <c r="E75" s="6"/>
      <c r="F75" s="6"/>
      <c r="G75" s="4" t="s">
        <v>285</v>
      </c>
      <c r="H75" s="5" t="s">
        <v>22</v>
      </c>
      <c r="I75" s="7"/>
      <c r="J75" s="7"/>
      <c r="K75" s="7"/>
      <c r="M75" s="8" t="s">
        <v>26</v>
      </c>
      <c r="N75" s="8" t="str">
        <f aca="false">IF($M75="","",IF($M75=$C75,"match","OVERRIDE"))</f>
        <v>match</v>
      </c>
      <c r="O75" s="8" t="s">
        <v>22</v>
      </c>
      <c r="P75" s="8" t="str">
        <f aca="false">IF($O75="","",IF($O75=$H75,"match","OVERRIDE"))</f>
        <v>match</v>
      </c>
      <c r="Q75" s="8" t="s">
        <v>23</v>
      </c>
      <c r="R75" s="9"/>
    </row>
    <row r="76" customFormat="false" ht="28.5" hidden="false" customHeight="true" outlineLevel="0" collapsed="false">
      <c r="A76" s="1" t="s">
        <v>286</v>
      </c>
      <c r="B76" s="4" t="s">
        <v>287</v>
      </c>
      <c r="C76" s="5" t="s">
        <v>26</v>
      </c>
      <c r="D76" s="6"/>
      <c r="E76" s="6"/>
      <c r="F76" s="6"/>
      <c r="G76" s="4" t="s">
        <v>288</v>
      </c>
      <c r="H76" s="5" t="s">
        <v>40</v>
      </c>
      <c r="I76" s="7"/>
      <c r="J76" s="7"/>
      <c r="K76" s="7"/>
      <c r="M76" s="8" t="s">
        <v>26</v>
      </c>
      <c r="N76" s="8" t="str">
        <f aca="false">IF($M76="","",IF($M76=$C76,"match","OVERRIDE"))</f>
        <v>match</v>
      </c>
      <c r="O76" s="8" t="s">
        <v>40</v>
      </c>
      <c r="P76" s="8" t="str">
        <f aca="false">IF($O76="","",IF($O76=$H76,"match","OVERRIDE"))</f>
        <v>match</v>
      </c>
      <c r="Q76" s="8" t="s">
        <v>23</v>
      </c>
      <c r="R76" s="9"/>
    </row>
    <row r="77" customFormat="false" ht="14.25" hidden="false" customHeight="true" outlineLevel="0" collapsed="false">
      <c r="A77" s="1" t="s">
        <v>289</v>
      </c>
      <c r="B77" s="4" t="s">
        <v>290</v>
      </c>
      <c r="C77" s="5" t="s">
        <v>31</v>
      </c>
      <c r="D77" s="6"/>
      <c r="E77" s="6"/>
      <c r="F77" s="6"/>
      <c r="G77" s="4" t="s">
        <v>291</v>
      </c>
      <c r="H77" s="5" t="s">
        <v>22</v>
      </c>
      <c r="I77" s="7"/>
      <c r="J77" s="7"/>
      <c r="K77" s="7"/>
      <c r="M77" s="8" t="s">
        <v>31</v>
      </c>
      <c r="N77" s="8" t="str">
        <f aca="false">IF($M77="","",IF($M77=$C77,"match","OVERRIDE"))</f>
        <v>match</v>
      </c>
      <c r="O77" s="8" t="s">
        <v>22</v>
      </c>
      <c r="P77" s="8" t="str">
        <f aca="false">IF($O77="","",IF($O77=$H77,"match","OVERRIDE"))</f>
        <v>match</v>
      </c>
      <c r="Q77" s="8" t="s">
        <v>23</v>
      </c>
      <c r="R77" s="9"/>
    </row>
    <row r="78" customFormat="false" ht="14.25" hidden="false" customHeight="true" outlineLevel="0" collapsed="false">
      <c r="A78" s="1" t="s">
        <v>292</v>
      </c>
      <c r="B78" s="4" t="s">
        <v>66</v>
      </c>
      <c r="C78" s="5" t="s">
        <v>27</v>
      </c>
      <c r="D78" s="6"/>
      <c r="E78" s="6"/>
      <c r="F78" s="6"/>
      <c r="G78" s="4" t="s">
        <v>293</v>
      </c>
      <c r="H78" s="5" t="s">
        <v>22</v>
      </c>
      <c r="I78" s="7"/>
      <c r="J78" s="7"/>
      <c r="K78" s="7"/>
      <c r="M78" s="8" t="s">
        <v>27</v>
      </c>
      <c r="N78" s="8" t="str">
        <f aca="false">IF($M78="","",IF($M78=$C78,"match","OVERRIDE"))</f>
        <v>match</v>
      </c>
      <c r="O78" s="8" t="s">
        <v>22</v>
      </c>
      <c r="P78" s="8" t="str">
        <f aca="false">IF($O78="","",IF($O78=$H78,"match","OVERRIDE"))</f>
        <v>match</v>
      </c>
      <c r="Q78" s="8" t="s">
        <v>23</v>
      </c>
      <c r="R78" s="9"/>
    </row>
    <row r="79" customFormat="false" ht="28.5" hidden="false" customHeight="true" outlineLevel="0" collapsed="false">
      <c r="A79" s="1" t="s">
        <v>294</v>
      </c>
      <c r="B79" s="4" t="s">
        <v>295</v>
      </c>
      <c r="C79" s="5" t="s">
        <v>26</v>
      </c>
      <c r="D79" s="6"/>
      <c r="E79" s="6"/>
      <c r="F79" s="6"/>
      <c r="G79" s="4" t="s">
        <v>296</v>
      </c>
      <c r="H79" s="5" t="s">
        <v>83</v>
      </c>
      <c r="I79" s="7"/>
      <c r="J79" s="7"/>
      <c r="K79" s="7"/>
      <c r="M79" s="8" t="s">
        <v>26</v>
      </c>
      <c r="N79" s="8" t="str">
        <f aca="false">IF($M79="","",IF($M79=$C79,"match","OVERRIDE"))</f>
        <v>match</v>
      </c>
      <c r="O79" s="8" t="s">
        <v>83</v>
      </c>
      <c r="P79" s="8" t="str">
        <f aca="false">IF($O79="","",IF($O79=$H79,"match","OVERRIDE"))</f>
        <v>match</v>
      </c>
      <c r="Q79" s="8" t="s">
        <v>23</v>
      </c>
      <c r="R79" s="9"/>
    </row>
    <row r="80" customFormat="false" ht="57.75" hidden="false" customHeight="true" outlineLevel="0" collapsed="false">
      <c r="A80" s="1" t="s">
        <v>297</v>
      </c>
      <c r="B80" s="4" t="s">
        <v>298</v>
      </c>
      <c r="C80" s="5" t="s">
        <v>26</v>
      </c>
      <c r="D80" s="6"/>
      <c r="E80" s="6"/>
      <c r="F80" s="6"/>
      <c r="G80" s="4" t="s">
        <v>299</v>
      </c>
      <c r="H80" s="5" t="s">
        <v>300</v>
      </c>
      <c r="I80" s="7"/>
      <c r="J80" s="7"/>
      <c r="K80" s="7"/>
      <c r="M80" s="8" t="s">
        <v>26</v>
      </c>
      <c r="N80" s="8" t="str">
        <f aca="false">IF($M80="","",IF($M80=$C80,"match","OVERRIDE"))</f>
        <v>match</v>
      </c>
      <c r="O80" s="8" t="s">
        <v>300</v>
      </c>
      <c r="P80" s="8" t="str">
        <f aca="false">IF($O80="","",IF($O80=$H80,"match","OVERRIDE"))</f>
        <v>match</v>
      </c>
      <c r="Q80" s="8" t="s">
        <v>23</v>
      </c>
      <c r="R80" s="9"/>
    </row>
    <row r="81" customFormat="false" ht="14.25" hidden="false" customHeight="true" outlineLevel="0" collapsed="false">
      <c r="A81" s="1" t="s">
        <v>301</v>
      </c>
      <c r="B81" s="4" t="s">
        <v>302</v>
      </c>
      <c r="C81" s="5" t="s">
        <v>26</v>
      </c>
      <c r="D81" s="6"/>
      <c r="E81" s="6"/>
      <c r="F81" s="6"/>
      <c r="G81" s="4" t="s">
        <v>303</v>
      </c>
      <c r="H81" s="5" t="s">
        <v>50</v>
      </c>
      <c r="I81" s="7"/>
      <c r="J81" s="7"/>
      <c r="K81" s="7"/>
      <c r="M81" s="8" t="s">
        <v>26</v>
      </c>
      <c r="N81" s="8" t="str">
        <f aca="false">IF($M81="","",IF($M81=$C81,"match","OVERRIDE"))</f>
        <v>match</v>
      </c>
      <c r="O81" s="8" t="s">
        <v>50</v>
      </c>
      <c r="P81" s="8" t="str">
        <f aca="false">IF($O81="","",IF($O81=$H81,"match","OVERRIDE"))</f>
        <v>match</v>
      </c>
      <c r="Q81" s="8" t="s">
        <v>23</v>
      </c>
      <c r="R81" s="9"/>
    </row>
    <row r="82" customFormat="false" ht="14.25" hidden="false" customHeight="true" outlineLevel="0" collapsed="false">
      <c r="A82" s="1" t="s">
        <v>304</v>
      </c>
      <c r="B82" s="4" t="s">
        <v>91</v>
      </c>
      <c r="C82" s="5" t="s">
        <v>27</v>
      </c>
      <c r="D82" s="6"/>
      <c r="E82" s="6"/>
      <c r="F82" s="6"/>
      <c r="G82" s="4" t="s">
        <v>305</v>
      </c>
      <c r="H82" s="5" t="s">
        <v>50</v>
      </c>
      <c r="I82" s="7"/>
      <c r="J82" s="7"/>
      <c r="K82" s="7"/>
      <c r="M82" s="8" t="s">
        <v>27</v>
      </c>
      <c r="N82" s="8" t="str">
        <f aca="false">IF($M82="","",IF($M82=$C82,"match","OVERRIDE"))</f>
        <v>match</v>
      </c>
      <c r="O82" s="8" t="s">
        <v>50</v>
      </c>
      <c r="P82" s="8" t="str">
        <f aca="false">IF($O82="","",IF($O82=$H82,"match","OVERRIDE"))</f>
        <v>match</v>
      </c>
      <c r="Q82" s="8" t="s">
        <v>23</v>
      </c>
      <c r="R82" s="9"/>
    </row>
    <row r="83" customFormat="false" ht="14.25" hidden="false" customHeight="true" outlineLevel="0" collapsed="false">
      <c r="A83" s="1" t="s">
        <v>306</v>
      </c>
      <c r="B83" s="4" t="s">
        <v>307</v>
      </c>
      <c r="C83" s="5" t="s">
        <v>26</v>
      </c>
      <c r="D83" s="6"/>
      <c r="E83" s="6"/>
      <c r="F83" s="6"/>
      <c r="G83" s="4" t="s">
        <v>308</v>
      </c>
      <c r="H83" s="5" t="s">
        <v>166</v>
      </c>
      <c r="I83" s="7"/>
      <c r="J83" s="7"/>
      <c r="K83" s="7"/>
      <c r="M83" s="8" t="s">
        <v>26</v>
      </c>
      <c r="N83" s="8" t="str">
        <f aca="false">IF($M83="","",IF($M83=$C83,"match","OVERRIDE"))</f>
        <v>match</v>
      </c>
      <c r="O83" s="8" t="s">
        <v>166</v>
      </c>
      <c r="P83" s="8" t="str">
        <f aca="false">IF($O83="","",IF($O83=$H83,"match","OVERRIDE"))</f>
        <v>match</v>
      </c>
      <c r="Q83" s="8" t="s">
        <v>23</v>
      </c>
      <c r="R83" s="9"/>
    </row>
    <row r="84" customFormat="false" ht="14.25" hidden="false" customHeight="true" outlineLevel="0" collapsed="false">
      <c r="A84" s="1" t="s">
        <v>309</v>
      </c>
      <c r="B84" s="4" t="s">
        <v>91</v>
      </c>
      <c r="C84" s="5" t="s">
        <v>27</v>
      </c>
      <c r="D84" s="6"/>
      <c r="E84" s="6"/>
      <c r="F84" s="6"/>
      <c r="G84" s="4" t="s">
        <v>310</v>
      </c>
      <c r="H84" s="5" t="s">
        <v>33</v>
      </c>
      <c r="I84" s="7"/>
      <c r="J84" s="7"/>
      <c r="K84" s="7"/>
      <c r="M84" s="8" t="s">
        <v>27</v>
      </c>
      <c r="N84" s="8" t="str">
        <f aca="false">IF($M84="","",IF($M84=$C84,"match","OVERRIDE"))</f>
        <v>match</v>
      </c>
      <c r="O84" s="8" t="s">
        <v>311</v>
      </c>
      <c r="P84" s="8" t="str">
        <f aca="false">IF($O84="","",IF($O84=$H84,"match","OVERRIDE"))</f>
        <v>OVERRIDE</v>
      </c>
      <c r="Q84" s="8" t="s">
        <v>88</v>
      </c>
      <c r="R84" s="9" t="s">
        <v>312</v>
      </c>
    </row>
    <row r="85" customFormat="false" ht="28.5" hidden="false" customHeight="true" outlineLevel="0" collapsed="false">
      <c r="A85" s="1" t="s">
        <v>313</v>
      </c>
      <c r="B85" s="4" t="s">
        <v>314</v>
      </c>
      <c r="C85" s="5" t="s">
        <v>26</v>
      </c>
      <c r="D85" s="6"/>
      <c r="E85" s="6"/>
      <c r="F85" s="6"/>
      <c r="G85" s="4" t="s">
        <v>315</v>
      </c>
      <c r="H85" s="5" t="s">
        <v>22</v>
      </c>
      <c r="I85" s="7"/>
      <c r="J85" s="7"/>
      <c r="K85" s="7"/>
      <c r="M85" s="8" t="s">
        <v>26</v>
      </c>
      <c r="N85" s="8" t="str">
        <f aca="false">IF($M85="","",IF($M85=$C85,"match","OVERRIDE"))</f>
        <v>match</v>
      </c>
      <c r="O85" s="8" t="s">
        <v>40</v>
      </c>
      <c r="P85" s="8" t="str">
        <f aca="false">IF($O85="","",IF($O85=$H85,"match","OVERRIDE"))</f>
        <v>OVERRIDE</v>
      </c>
      <c r="Q85" s="8" t="s">
        <v>59</v>
      </c>
      <c r="R85" s="9" t="s">
        <v>316</v>
      </c>
    </row>
    <row r="86" customFormat="false" ht="14.25" hidden="false" customHeight="true" outlineLevel="0" collapsed="false">
      <c r="A86" s="1" t="s">
        <v>317</v>
      </c>
      <c r="B86" s="4" t="s">
        <v>318</v>
      </c>
      <c r="C86" s="5" t="s">
        <v>20</v>
      </c>
      <c r="D86" s="6"/>
      <c r="E86" s="6"/>
      <c r="F86" s="6"/>
      <c r="G86" s="4" t="s">
        <v>319</v>
      </c>
      <c r="H86" s="5" t="s">
        <v>22</v>
      </c>
      <c r="I86" s="7"/>
      <c r="J86" s="7"/>
      <c r="K86" s="7"/>
      <c r="M86" s="8" t="s">
        <v>20</v>
      </c>
      <c r="N86" s="8" t="str">
        <f aca="false">IF($M86="","",IF($M86=$C86,"match","OVERRIDE"))</f>
        <v>match</v>
      </c>
      <c r="O86" s="8" t="s">
        <v>22</v>
      </c>
      <c r="P86" s="8" t="str">
        <f aca="false">IF($O86="","",IF($O86=$H86,"match","OVERRIDE"))</f>
        <v>match</v>
      </c>
      <c r="Q86" s="8" t="s">
        <v>23</v>
      </c>
      <c r="R86" s="9"/>
    </row>
    <row r="87" customFormat="false" ht="28.5" hidden="false" customHeight="true" outlineLevel="0" collapsed="false">
      <c r="A87" s="1" t="s">
        <v>320</v>
      </c>
      <c r="B87" s="4" t="s">
        <v>91</v>
      </c>
      <c r="C87" s="5" t="s">
        <v>27</v>
      </c>
      <c r="D87" s="6"/>
      <c r="E87" s="6"/>
      <c r="F87" s="6"/>
      <c r="G87" s="4" t="s">
        <v>321</v>
      </c>
      <c r="H87" s="5" t="s">
        <v>40</v>
      </c>
      <c r="I87" s="7"/>
      <c r="J87" s="7"/>
      <c r="K87" s="7"/>
      <c r="M87" s="8" t="s">
        <v>27</v>
      </c>
      <c r="N87" s="8" t="str">
        <f aca="false">IF($M87="","",IF($M87=$C87,"match","OVERRIDE"))</f>
        <v>match</v>
      </c>
      <c r="O87" s="8" t="s">
        <v>40</v>
      </c>
      <c r="P87" s="8" t="str">
        <f aca="false">IF($O87="","",IF($O87=$H87,"match","OVERRIDE"))</f>
        <v>match</v>
      </c>
      <c r="Q87" s="8" t="s">
        <v>23</v>
      </c>
      <c r="R87" s="9"/>
    </row>
    <row r="88" customFormat="false" ht="43.5" hidden="false" customHeight="true" outlineLevel="0" collapsed="false">
      <c r="A88" s="1" t="s">
        <v>322</v>
      </c>
      <c r="B88" s="4" t="s">
        <v>323</v>
      </c>
      <c r="C88" s="5" t="s">
        <v>26</v>
      </c>
      <c r="D88" s="6"/>
      <c r="E88" s="6"/>
      <c r="F88" s="6"/>
      <c r="G88" s="4" t="s">
        <v>324</v>
      </c>
      <c r="H88" s="5" t="s">
        <v>83</v>
      </c>
      <c r="I88" s="7"/>
      <c r="J88" s="7"/>
      <c r="K88" s="7"/>
      <c r="M88" s="8" t="s">
        <v>26</v>
      </c>
      <c r="N88" s="8" t="str">
        <f aca="false">IF($M88="","",IF($M88=$C88,"match","OVERRIDE"))</f>
        <v>match</v>
      </c>
      <c r="O88" s="8" t="s">
        <v>83</v>
      </c>
      <c r="P88" s="8" t="str">
        <f aca="false">IF($O88="","",IF($O88=$H88,"match","OVERRIDE"))</f>
        <v>match</v>
      </c>
      <c r="Q88" s="8" t="s">
        <v>23</v>
      </c>
      <c r="R88" s="9"/>
    </row>
    <row r="89" customFormat="false" ht="14.25" hidden="false" customHeight="true" outlineLevel="0" collapsed="false">
      <c r="A89" s="1" t="s">
        <v>325</v>
      </c>
      <c r="B89" s="4" t="s">
        <v>326</v>
      </c>
      <c r="C89" s="5" t="s">
        <v>20</v>
      </c>
      <c r="D89" s="6"/>
      <c r="E89" s="6"/>
      <c r="F89" s="6"/>
      <c r="G89" s="4" t="s">
        <v>327</v>
      </c>
      <c r="H89" s="5" t="s">
        <v>166</v>
      </c>
      <c r="I89" s="7"/>
      <c r="J89" s="7"/>
      <c r="K89" s="7"/>
      <c r="M89" s="8" t="s">
        <v>20</v>
      </c>
      <c r="N89" s="8" t="str">
        <f aca="false">IF($M89="","",IF($M89=$C89,"match","OVERRIDE"))</f>
        <v>match</v>
      </c>
      <c r="O89" s="8" t="s">
        <v>166</v>
      </c>
      <c r="P89" s="8" t="str">
        <f aca="false">IF($O89="","",IF($O89=$H89,"match","OVERRIDE"))</f>
        <v>match</v>
      </c>
      <c r="Q89" s="8" t="s">
        <v>23</v>
      </c>
      <c r="R89" s="9"/>
    </row>
    <row r="90" customFormat="false" ht="28.5" hidden="false" customHeight="true" outlineLevel="0" collapsed="false">
      <c r="A90" s="1" t="s">
        <v>328</v>
      </c>
      <c r="B90" s="4" t="s">
        <v>19</v>
      </c>
      <c r="C90" s="5" t="s">
        <v>20</v>
      </c>
      <c r="D90" s="6"/>
      <c r="E90" s="6"/>
      <c r="F90" s="6"/>
      <c r="G90" s="4" t="s">
        <v>329</v>
      </c>
      <c r="H90" s="5" t="s">
        <v>40</v>
      </c>
      <c r="I90" s="7"/>
      <c r="J90" s="7"/>
      <c r="K90" s="7"/>
      <c r="M90" s="8" t="s">
        <v>20</v>
      </c>
      <c r="N90" s="8" t="str">
        <f aca="false">IF($M90="","",IF($M90=$C90,"match","OVERRIDE"))</f>
        <v>match</v>
      </c>
      <c r="O90" s="8" t="s">
        <v>40</v>
      </c>
      <c r="P90" s="8" t="str">
        <f aca="false">IF($O90="","",IF($O90=$H90,"match","OVERRIDE"))</f>
        <v>match</v>
      </c>
      <c r="Q90" s="8" t="s">
        <v>59</v>
      </c>
      <c r="R90" s="9" t="s">
        <v>330</v>
      </c>
    </row>
    <row r="91" customFormat="false" ht="28.5" hidden="false" customHeight="true" outlineLevel="0" collapsed="false">
      <c r="A91" s="1" t="s">
        <v>331</v>
      </c>
      <c r="B91" s="4" t="s">
        <v>66</v>
      </c>
      <c r="C91" s="5" t="s">
        <v>27</v>
      </c>
      <c r="D91" s="6"/>
      <c r="E91" s="6"/>
      <c r="F91" s="6"/>
      <c r="G91" s="4" t="s">
        <v>332</v>
      </c>
      <c r="H91" s="5" t="s">
        <v>40</v>
      </c>
      <c r="I91" s="7"/>
      <c r="J91" s="7"/>
      <c r="K91" s="7"/>
      <c r="M91" s="8" t="s">
        <v>27</v>
      </c>
      <c r="N91" s="8" t="str">
        <f aca="false">IF($M91="","",IF($M91=$C91,"match","OVERRIDE"))</f>
        <v>match</v>
      </c>
      <c r="O91" s="8" t="s">
        <v>40</v>
      </c>
      <c r="P91" s="8" t="str">
        <f aca="false">IF($O91="","",IF($O91=$H91,"match","OVERRIDE"))</f>
        <v>match</v>
      </c>
      <c r="Q91" s="8" t="s">
        <v>23</v>
      </c>
      <c r="R91" s="9"/>
    </row>
    <row r="92" customFormat="false" ht="28.5" hidden="false" customHeight="true" outlineLevel="0" collapsed="false">
      <c r="A92" s="1" t="s">
        <v>333</v>
      </c>
      <c r="B92" s="4" t="s">
        <v>334</v>
      </c>
      <c r="C92" s="5" t="s">
        <v>27</v>
      </c>
      <c r="D92" s="6"/>
      <c r="E92" s="6"/>
      <c r="F92" s="6"/>
      <c r="G92" s="4" t="s">
        <v>335</v>
      </c>
      <c r="H92" s="5" t="s">
        <v>50</v>
      </c>
      <c r="I92" s="7"/>
      <c r="J92" s="7"/>
      <c r="K92" s="7"/>
      <c r="M92" s="8" t="s">
        <v>27</v>
      </c>
      <c r="N92" s="8" t="str">
        <f aca="false">IF($M92="","",IF($M92=$C92,"match","OVERRIDE"))</f>
        <v>match</v>
      </c>
      <c r="O92" s="8" t="s">
        <v>50</v>
      </c>
      <c r="P92" s="8" t="str">
        <f aca="false">IF($O92="","",IF($O92=$H92,"match","OVERRIDE"))</f>
        <v>match</v>
      </c>
      <c r="Q92" s="8" t="s">
        <v>59</v>
      </c>
      <c r="R92" s="9" t="s">
        <v>336</v>
      </c>
    </row>
    <row r="93" customFormat="false" ht="14.25" hidden="false" customHeight="true" outlineLevel="0" collapsed="false">
      <c r="A93" s="1" t="s">
        <v>337</v>
      </c>
      <c r="B93" s="4" t="s">
        <v>66</v>
      </c>
      <c r="C93" s="5" t="s">
        <v>27</v>
      </c>
      <c r="D93" s="6"/>
      <c r="E93" s="6"/>
      <c r="F93" s="6"/>
      <c r="G93" s="10" t="s">
        <v>338</v>
      </c>
      <c r="H93" s="5" t="s">
        <v>46</v>
      </c>
      <c r="I93" s="7"/>
      <c r="J93" s="7"/>
      <c r="K93" s="7"/>
      <c r="M93" s="8" t="s">
        <v>27</v>
      </c>
      <c r="N93" s="8" t="str">
        <f aca="false">IF($M93="","",IF($M93=$C93,"match","OVERRIDE"))</f>
        <v>match</v>
      </c>
      <c r="O93" s="8" t="s">
        <v>46</v>
      </c>
      <c r="P93" s="8" t="str">
        <f aca="false">IF($O93="","",IF($O93=$H93,"match","OVERRIDE"))</f>
        <v>match</v>
      </c>
      <c r="Q93" s="8" t="s">
        <v>23</v>
      </c>
      <c r="R93" s="9"/>
    </row>
    <row r="94" customFormat="false" ht="14.25" hidden="false" customHeight="true" outlineLevel="0" collapsed="false">
      <c r="A94" s="1" t="s">
        <v>339</v>
      </c>
      <c r="B94" s="4" t="s">
        <v>340</v>
      </c>
      <c r="C94" s="5" t="s">
        <v>26</v>
      </c>
      <c r="D94" s="6"/>
      <c r="E94" s="6"/>
      <c r="F94" s="6"/>
      <c r="G94" s="4" t="s">
        <v>341</v>
      </c>
      <c r="H94" s="5" t="s">
        <v>22</v>
      </c>
      <c r="I94" s="7"/>
      <c r="J94" s="7"/>
      <c r="K94" s="7"/>
      <c r="M94" s="8" t="s">
        <v>26</v>
      </c>
      <c r="N94" s="8" t="str">
        <f aca="false">IF($M94="","",IF($M94=$C94,"match","OVERRIDE"))</f>
        <v>match</v>
      </c>
      <c r="O94" s="8" t="s">
        <v>22</v>
      </c>
      <c r="P94" s="8" t="str">
        <f aca="false">IF($O94="","",IF($O94=$H94,"match","OVERRIDE"))</f>
        <v>match</v>
      </c>
      <c r="Q94" s="8" t="s">
        <v>23</v>
      </c>
      <c r="R94" s="9"/>
    </row>
    <row r="95" customFormat="false" ht="57.75" hidden="false" customHeight="true" outlineLevel="0" collapsed="false">
      <c r="A95" s="1" t="s">
        <v>342</v>
      </c>
      <c r="B95" s="4" t="s">
        <v>343</v>
      </c>
      <c r="C95" s="5" t="s">
        <v>26</v>
      </c>
      <c r="D95" s="6"/>
      <c r="E95" s="6"/>
      <c r="F95" s="6"/>
      <c r="G95" s="4" t="s">
        <v>344</v>
      </c>
      <c r="H95" s="5" t="s">
        <v>130</v>
      </c>
      <c r="I95" s="7"/>
      <c r="J95" s="7"/>
      <c r="K95" s="7"/>
      <c r="M95" s="8" t="s">
        <v>26</v>
      </c>
      <c r="N95" s="8" t="str">
        <f aca="false">IF($M95="","",IF($M95=$C95,"match","OVERRIDE"))</f>
        <v>match</v>
      </c>
      <c r="O95" s="8" t="s">
        <v>130</v>
      </c>
      <c r="P95" s="8" t="str">
        <f aca="false">IF($O95="","",IF($O95=$H95,"match","OVERRIDE"))</f>
        <v>match</v>
      </c>
      <c r="Q95" s="8" t="s">
        <v>23</v>
      </c>
      <c r="R95" s="9"/>
    </row>
    <row r="96" customFormat="false" ht="14.25" hidden="false" customHeight="true" outlineLevel="0" collapsed="false">
      <c r="A96" s="1" t="s">
        <v>345</v>
      </c>
      <c r="B96" s="4" t="s">
        <v>346</v>
      </c>
      <c r="C96" s="5" t="s">
        <v>20</v>
      </c>
      <c r="D96" s="6"/>
      <c r="E96" s="6"/>
      <c r="F96" s="6"/>
      <c r="G96" s="4" t="s">
        <v>347</v>
      </c>
      <c r="H96" s="5" t="s">
        <v>46</v>
      </c>
      <c r="I96" s="7"/>
      <c r="J96" s="7"/>
      <c r="K96" s="7"/>
      <c r="M96" s="8" t="s">
        <v>20</v>
      </c>
      <c r="N96" s="8" t="str">
        <f aca="false">IF($M96="","",IF($M96=$C96,"match","OVERRIDE"))</f>
        <v>match</v>
      </c>
      <c r="O96" s="8" t="s">
        <v>46</v>
      </c>
      <c r="P96" s="8" t="str">
        <f aca="false">IF($O96="","",IF($O96=$H96,"match","OVERRIDE"))</f>
        <v>match</v>
      </c>
      <c r="Q96" s="8" t="s">
        <v>23</v>
      </c>
      <c r="R96" s="9"/>
    </row>
    <row r="97" customFormat="false" ht="28.5" hidden="false" customHeight="true" outlineLevel="0" collapsed="false">
      <c r="A97" s="1" t="s">
        <v>348</v>
      </c>
      <c r="B97" s="4" t="s">
        <v>349</v>
      </c>
      <c r="C97" s="5" t="s">
        <v>26</v>
      </c>
      <c r="D97" s="6"/>
      <c r="E97" s="6"/>
      <c r="F97" s="6"/>
      <c r="G97" s="4" t="s">
        <v>350</v>
      </c>
      <c r="H97" s="5" t="s">
        <v>40</v>
      </c>
      <c r="I97" s="7"/>
      <c r="J97" s="7"/>
      <c r="K97" s="7"/>
      <c r="M97" s="8" t="s">
        <v>26</v>
      </c>
      <c r="N97" s="8" t="str">
        <f aca="false">IF($M97="","",IF($M97=$C97,"match","OVERRIDE"))</f>
        <v>match</v>
      </c>
      <c r="O97" s="8" t="s">
        <v>40</v>
      </c>
      <c r="P97" s="8" t="str">
        <f aca="false">IF($O97="","",IF($O97=$H97,"match","OVERRIDE"))</f>
        <v>match</v>
      </c>
      <c r="Q97" s="8" t="s">
        <v>23</v>
      </c>
      <c r="R97" s="9"/>
    </row>
    <row r="98" customFormat="false" ht="14.25" hidden="false" customHeight="true" outlineLevel="0" collapsed="false">
      <c r="A98" s="1" t="s">
        <v>351</v>
      </c>
      <c r="B98" s="4" t="s">
        <v>352</v>
      </c>
      <c r="C98" s="5" t="s">
        <v>27</v>
      </c>
      <c r="D98" s="6"/>
      <c r="E98" s="6"/>
      <c r="F98" s="6"/>
      <c r="G98" s="4" t="s">
        <v>353</v>
      </c>
      <c r="H98" s="5" t="s">
        <v>22</v>
      </c>
      <c r="I98" s="7"/>
      <c r="J98" s="7"/>
      <c r="K98" s="7"/>
      <c r="M98" s="8" t="s">
        <v>27</v>
      </c>
      <c r="N98" s="8" t="str">
        <f aca="false">IF($M98="","",IF($M98=$C98,"match","OVERRIDE"))</f>
        <v>match</v>
      </c>
      <c r="O98" s="8" t="s">
        <v>22</v>
      </c>
      <c r="P98" s="8" t="str">
        <f aca="false">IF($O98="","",IF($O98=$H98,"match","OVERRIDE"))</f>
        <v>match</v>
      </c>
      <c r="Q98" s="8" t="s">
        <v>23</v>
      </c>
      <c r="R98" s="9"/>
    </row>
    <row r="99" customFormat="false" ht="27.75" hidden="false" customHeight="true" outlineLevel="0" collapsed="false">
      <c r="A99" s="1" t="s">
        <v>354</v>
      </c>
      <c r="B99" s="4" t="s">
        <v>355</v>
      </c>
      <c r="C99" s="5" t="s">
        <v>31</v>
      </c>
      <c r="D99" s="6"/>
      <c r="E99" s="6"/>
      <c r="F99" s="6"/>
      <c r="G99" s="4" t="s">
        <v>356</v>
      </c>
      <c r="H99" s="5" t="s">
        <v>22</v>
      </c>
      <c r="I99" s="7"/>
      <c r="J99" s="7"/>
      <c r="K99" s="7"/>
      <c r="M99" s="8" t="s">
        <v>26</v>
      </c>
      <c r="N99" s="8" t="str">
        <f aca="false">IF($M99="","",IF($M99=$C99,"match","OVERRIDE"))</f>
        <v>OVERRIDE</v>
      </c>
      <c r="O99" s="8" t="s">
        <v>22</v>
      </c>
      <c r="P99" s="8" t="str">
        <f aca="false">IF($O99="","",IF($O99=$H99,"match","OVERRIDE"))</f>
        <v>match</v>
      </c>
      <c r="Q99" s="8" t="s">
        <v>23</v>
      </c>
      <c r="R99" s="9" t="s">
        <v>357</v>
      </c>
    </row>
    <row r="100" customFormat="false" ht="14.25" hidden="false" customHeight="true" outlineLevel="0" collapsed="false">
      <c r="A100" s="1" t="s">
        <v>358</v>
      </c>
      <c r="B100" s="4" t="s">
        <v>164</v>
      </c>
      <c r="C100" s="5" t="s">
        <v>27</v>
      </c>
      <c r="D100" s="6"/>
      <c r="E100" s="6"/>
      <c r="F100" s="6"/>
      <c r="G100" s="4" t="s">
        <v>359</v>
      </c>
      <c r="H100" s="5" t="s">
        <v>46</v>
      </c>
      <c r="I100" s="7"/>
      <c r="J100" s="7"/>
      <c r="K100" s="7"/>
      <c r="M100" s="8" t="s">
        <v>27</v>
      </c>
      <c r="N100" s="8" t="str">
        <f aca="false">IF($M100="","",IF($M100=$C100,"match","OVERRIDE"))</f>
        <v>match</v>
      </c>
      <c r="O100" s="8" t="s">
        <v>46</v>
      </c>
      <c r="P100" s="8" t="str">
        <f aca="false">IF($O100="","",IF($O100=$H100,"match","OVERRIDE"))</f>
        <v>match</v>
      </c>
      <c r="Q100" s="8" t="s">
        <v>23</v>
      </c>
      <c r="R100" s="9"/>
    </row>
    <row r="101" customFormat="false" ht="14.25" hidden="false" customHeight="true" outlineLevel="0" collapsed="false">
      <c r="A101" s="1" t="s">
        <v>360</v>
      </c>
      <c r="B101" s="4" t="s">
        <v>361</v>
      </c>
      <c r="C101" s="5" t="s">
        <v>20</v>
      </c>
      <c r="D101" s="6"/>
      <c r="E101" s="6"/>
      <c r="F101" s="6"/>
      <c r="G101" s="4" t="s">
        <v>362</v>
      </c>
      <c r="H101" s="5" t="s">
        <v>22</v>
      </c>
      <c r="I101" s="7"/>
      <c r="J101" s="7"/>
      <c r="K101" s="7"/>
      <c r="M101" s="8" t="s">
        <v>20</v>
      </c>
      <c r="N101" s="8" t="str">
        <f aca="false">IF($M101="","",IF($M101=$C101,"match","OVERRIDE"))</f>
        <v>match</v>
      </c>
      <c r="O101" s="8" t="s">
        <v>22</v>
      </c>
      <c r="P101" s="8" t="str">
        <f aca="false">IF($O101="","",IF($O101=$H101,"match","OVERRIDE"))</f>
        <v>match</v>
      </c>
      <c r="Q101" s="8" t="s">
        <v>23</v>
      </c>
      <c r="R101" s="9"/>
    </row>
    <row r="102" customFormat="false" ht="14.25" hidden="false" customHeight="true" outlineLevel="0" collapsed="false">
      <c r="A102" s="1" t="s">
        <v>363</v>
      </c>
      <c r="B102" s="4" t="s">
        <v>364</v>
      </c>
      <c r="C102" s="5" t="s">
        <v>20</v>
      </c>
      <c r="D102" s="6"/>
      <c r="E102" s="6"/>
      <c r="F102" s="6"/>
      <c r="G102" s="4" t="s">
        <v>365</v>
      </c>
      <c r="H102" s="5" t="s">
        <v>40</v>
      </c>
      <c r="I102" s="7"/>
      <c r="J102" s="7"/>
      <c r="K102" s="7"/>
      <c r="M102" s="8" t="s">
        <v>20</v>
      </c>
      <c r="N102" s="8" t="str">
        <f aca="false">IF($M102="","",IF($M102=$C102,"match","OVERRIDE"))</f>
        <v>match</v>
      </c>
      <c r="O102" s="8" t="s">
        <v>40</v>
      </c>
      <c r="P102" s="8" t="str">
        <f aca="false">IF($O102="","",IF($O102=$H102,"match","OVERRIDE"))</f>
        <v>match</v>
      </c>
      <c r="Q102" s="8" t="s">
        <v>23</v>
      </c>
      <c r="R102" s="9"/>
    </row>
    <row r="103" customFormat="false" ht="14.25" hidden="false" customHeight="true" outlineLevel="0" collapsed="false">
      <c r="A103" s="1" t="s">
        <v>366</v>
      </c>
      <c r="B103" s="4" t="s">
        <v>19</v>
      </c>
      <c r="C103" s="5" t="s">
        <v>20</v>
      </c>
      <c r="D103" s="6"/>
      <c r="E103" s="6"/>
      <c r="F103" s="6"/>
      <c r="G103" s="4" t="s">
        <v>367</v>
      </c>
      <c r="H103" s="5" t="s">
        <v>40</v>
      </c>
      <c r="I103" s="7"/>
      <c r="J103" s="7"/>
      <c r="K103" s="7"/>
      <c r="M103" s="8" t="s">
        <v>20</v>
      </c>
      <c r="N103" s="8" t="str">
        <f aca="false">IF($M103="","",IF($M103=$C103,"match","OVERRIDE"))</f>
        <v>match</v>
      </c>
      <c r="O103" s="8" t="s">
        <v>40</v>
      </c>
      <c r="P103" s="8" t="str">
        <f aca="false">IF($O103="","",IF($O103=$H103,"match","OVERRIDE"))</f>
        <v>match</v>
      </c>
      <c r="Q103" s="8" t="s">
        <v>23</v>
      </c>
      <c r="R103" s="9"/>
    </row>
    <row r="104" customFormat="false" ht="27.75" hidden="false" customHeight="true" outlineLevel="0" collapsed="false">
      <c r="A104" s="1" t="s">
        <v>368</v>
      </c>
      <c r="B104" s="4" t="s">
        <v>369</v>
      </c>
      <c r="C104" s="5" t="s">
        <v>20</v>
      </c>
      <c r="D104" s="6"/>
      <c r="E104" s="6"/>
      <c r="F104" s="6"/>
      <c r="G104" s="4" t="s">
        <v>370</v>
      </c>
      <c r="H104" s="5" t="s">
        <v>40</v>
      </c>
      <c r="I104" s="7"/>
      <c r="J104" s="7"/>
      <c r="K104" s="7"/>
      <c r="M104" s="8" t="s">
        <v>20</v>
      </c>
      <c r="N104" s="8" t="str">
        <f aca="false">IF($M104="","",IF($M104=$C104,"match","OVERRIDE"))</f>
        <v>match</v>
      </c>
      <c r="O104" s="8" t="s">
        <v>40</v>
      </c>
      <c r="P104" s="8" t="str">
        <f aca="false">IF($O104="","",IF($O104=$H104,"match","OVERRIDE"))</f>
        <v>match</v>
      </c>
      <c r="Q104" s="8" t="s">
        <v>59</v>
      </c>
      <c r="R104" s="9" t="s">
        <v>371</v>
      </c>
    </row>
    <row r="105" customFormat="false" ht="14.25" hidden="false" customHeight="true" outlineLevel="0" collapsed="false">
      <c r="A105" s="1" t="s">
        <v>372</v>
      </c>
      <c r="B105" s="4" t="s">
        <v>373</v>
      </c>
      <c r="C105" s="5" t="s">
        <v>20</v>
      </c>
      <c r="D105" s="6"/>
      <c r="E105" s="6"/>
      <c r="F105" s="6"/>
      <c r="G105" s="4" t="s">
        <v>374</v>
      </c>
      <c r="H105" s="5" t="s">
        <v>22</v>
      </c>
      <c r="I105" s="7"/>
      <c r="J105" s="7"/>
      <c r="K105" s="7"/>
      <c r="M105" s="8" t="s">
        <v>20</v>
      </c>
      <c r="N105" s="8" t="str">
        <f aca="false">IF($M105="","",IF($M105=$C105,"match","OVERRIDE"))</f>
        <v>match</v>
      </c>
      <c r="O105" s="8" t="s">
        <v>22</v>
      </c>
      <c r="P105" s="8" t="str">
        <f aca="false">IF($O105="","",IF($O105=$H105,"match","OVERRIDE"))</f>
        <v>match</v>
      </c>
      <c r="Q105" s="8" t="s">
        <v>23</v>
      </c>
      <c r="R105" s="9"/>
    </row>
    <row r="106" customFormat="false" ht="14.25" hidden="false" customHeight="true" outlineLevel="0" collapsed="false">
      <c r="A106" s="1" t="s">
        <v>375</v>
      </c>
      <c r="B106" s="4" t="s">
        <v>376</v>
      </c>
      <c r="C106" s="5" t="s">
        <v>26</v>
      </c>
      <c r="D106" s="6"/>
      <c r="E106" s="6"/>
      <c r="F106" s="6"/>
      <c r="G106" s="4" t="s">
        <v>377</v>
      </c>
      <c r="H106" s="5" t="s">
        <v>22</v>
      </c>
      <c r="I106" s="7"/>
      <c r="J106" s="7"/>
      <c r="K106" s="7"/>
      <c r="M106" s="8" t="s">
        <v>26</v>
      </c>
      <c r="N106" s="8" t="str">
        <f aca="false">IF($M106="","",IF($M106=$C106,"match","OVERRIDE"))</f>
        <v>match</v>
      </c>
      <c r="O106" s="8" t="s">
        <v>22</v>
      </c>
      <c r="P106" s="8" t="str">
        <f aca="false">IF($O106="","",IF($O106=$H106,"match","OVERRIDE"))</f>
        <v>match</v>
      </c>
      <c r="Q106" s="8" t="s">
        <v>23</v>
      </c>
      <c r="R106" s="9"/>
    </row>
    <row r="107" customFormat="false" ht="23.25" hidden="false" customHeight="true" outlineLevel="0" collapsed="false">
      <c r="A107" s="1" t="s">
        <v>378</v>
      </c>
      <c r="B107" s="4" t="s">
        <v>379</v>
      </c>
      <c r="C107" s="5" t="s">
        <v>26</v>
      </c>
      <c r="D107" s="6"/>
      <c r="E107" s="6"/>
      <c r="F107" s="6"/>
      <c r="G107" s="4" t="s">
        <v>380</v>
      </c>
      <c r="H107" s="5" t="s">
        <v>33</v>
      </c>
      <c r="I107" s="7"/>
      <c r="J107" s="7"/>
      <c r="K107" s="7"/>
      <c r="M107" s="8" t="s">
        <v>26</v>
      </c>
      <c r="N107" s="8" t="str">
        <f aca="false">IF($M107="","",IF($M107=$C107,"match","OVERRIDE"))</f>
        <v>match</v>
      </c>
      <c r="O107" s="8" t="s">
        <v>33</v>
      </c>
      <c r="P107" s="8" t="str">
        <f aca="false">IF($O107="","",IF($O107=$H107,"match","OVERRIDE"))</f>
        <v>match</v>
      </c>
      <c r="Q107" s="8" t="s">
        <v>59</v>
      </c>
      <c r="R107" s="9" t="s">
        <v>381</v>
      </c>
    </row>
    <row r="108" customFormat="false" ht="14.25" hidden="false" customHeight="true" outlineLevel="0" collapsed="false">
      <c r="A108" s="1" t="s">
        <v>382</v>
      </c>
      <c r="B108" s="4" t="s">
        <v>249</v>
      </c>
      <c r="C108" s="5" t="s">
        <v>31</v>
      </c>
      <c r="D108" s="6"/>
      <c r="E108" s="6"/>
      <c r="F108" s="6"/>
      <c r="G108" s="4" t="s">
        <v>383</v>
      </c>
      <c r="H108" s="5" t="s">
        <v>22</v>
      </c>
      <c r="I108" s="7"/>
      <c r="J108" s="7"/>
      <c r="K108" s="7"/>
      <c r="M108" s="8" t="s">
        <v>31</v>
      </c>
      <c r="N108" s="8" t="str">
        <f aca="false">IF($M108="","",IF($M108=$C108,"match","OVERRIDE"))</f>
        <v>match</v>
      </c>
      <c r="O108" s="8" t="s">
        <v>22</v>
      </c>
      <c r="P108" s="8" t="str">
        <f aca="false">IF($O108="","",IF($O108=$H108,"match","OVERRIDE"))</f>
        <v>match</v>
      </c>
      <c r="Q108" s="8" t="s">
        <v>23</v>
      </c>
      <c r="R108" s="9"/>
    </row>
    <row r="109" customFormat="false" ht="28.5" hidden="false" customHeight="true" outlineLevel="0" collapsed="false">
      <c r="A109" s="1" t="s">
        <v>384</v>
      </c>
      <c r="B109" s="4" t="s">
        <v>385</v>
      </c>
      <c r="C109" s="5" t="s">
        <v>26</v>
      </c>
      <c r="D109" s="6"/>
      <c r="E109" s="6"/>
      <c r="F109" s="6"/>
      <c r="G109" s="4" t="s">
        <v>386</v>
      </c>
      <c r="H109" s="5" t="s">
        <v>83</v>
      </c>
      <c r="I109" s="7"/>
      <c r="J109" s="7"/>
      <c r="K109" s="7"/>
      <c r="M109" s="8" t="s">
        <v>26</v>
      </c>
      <c r="N109" s="8" t="str">
        <f aca="false">IF($M109="","",IF($M109=$C109,"match","OVERRIDE"))</f>
        <v>match</v>
      </c>
      <c r="O109" s="8" t="s">
        <v>110</v>
      </c>
      <c r="P109" s="8" t="str">
        <f aca="false">IF($O109="","",IF($O109=$H109,"match","OVERRIDE"))</f>
        <v>OVERRIDE</v>
      </c>
      <c r="Q109" s="8" t="s">
        <v>88</v>
      </c>
      <c r="R109" s="9" t="s">
        <v>387</v>
      </c>
    </row>
    <row r="110" customFormat="false" ht="14.25" hidden="false" customHeight="true" outlineLevel="0" collapsed="false">
      <c r="A110" s="1" t="s">
        <v>388</v>
      </c>
      <c r="B110" s="4" t="s">
        <v>389</v>
      </c>
      <c r="C110" s="5" t="s">
        <v>26</v>
      </c>
      <c r="D110" s="6"/>
      <c r="E110" s="6"/>
      <c r="F110" s="6"/>
      <c r="G110" s="4" t="s">
        <v>390</v>
      </c>
      <c r="H110" s="5" t="s">
        <v>58</v>
      </c>
      <c r="I110" s="7"/>
      <c r="J110" s="7"/>
      <c r="K110" s="7"/>
      <c r="M110" s="8" t="s">
        <v>26</v>
      </c>
      <c r="N110" s="8" t="str">
        <f aca="false">IF($M110="","",IF($M110=$C110,"match","OVERRIDE"))</f>
        <v>match</v>
      </c>
      <c r="O110" s="8" t="s">
        <v>58</v>
      </c>
      <c r="P110" s="8" t="str">
        <f aca="false">IF($O110="","",IF($O110=$H110,"match","OVERRIDE"))</f>
        <v>match</v>
      </c>
      <c r="Q110" s="8" t="s">
        <v>23</v>
      </c>
      <c r="R110" s="9"/>
    </row>
    <row r="111" customFormat="false" ht="14.25" hidden="false" customHeight="true" outlineLevel="0" collapsed="false">
      <c r="A111" s="1" t="s">
        <v>391</v>
      </c>
      <c r="B111" s="10" t="s">
        <v>172</v>
      </c>
      <c r="C111" s="5" t="s">
        <v>31</v>
      </c>
      <c r="D111" s="6"/>
      <c r="E111" s="6"/>
      <c r="F111" s="6"/>
      <c r="G111" s="10" t="s">
        <v>173</v>
      </c>
      <c r="H111" s="5"/>
      <c r="I111" s="7"/>
      <c r="J111" s="7"/>
      <c r="K111" s="7"/>
      <c r="M111" s="8" t="s">
        <v>31</v>
      </c>
      <c r="N111" s="8" t="str">
        <f aca="false">IF($M111="","",IF($M111=$C111,"match","OVERRIDE"))</f>
        <v>match</v>
      </c>
      <c r="O111" s="8" t="s">
        <v>33</v>
      </c>
      <c r="P111" s="8" t="str">
        <f aca="false">IF($O111="","",IF($O111=$H111,"match","OVERRIDE"))</f>
        <v>OVERRIDE</v>
      </c>
      <c r="Q111" s="8" t="s">
        <v>23</v>
      </c>
      <c r="R111" s="9" t="s">
        <v>174</v>
      </c>
    </row>
    <row r="112" customFormat="false" ht="28.5" hidden="false" customHeight="true" outlineLevel="0" collapsed="false">
      <c r="A112" s="1" t="s">
        <v>392</v>
      </c>
      <c r="B112" s="4" t="s">
        <v>393</v>
      </c>
      <c r="C112" s="5" t="s">
        <v>26</v>
      </c>
      <c r="D112" s="6"/>
      <c r="E112" s="6"/>
      <c r="F112" s="6"/>
      <c r="G112" s="4" t="s">
        <v>394</v>
      </c>
      <c r="H112" s="5" t="s">
        <v>22</v>
      </c>
      <c r="I112" s="7"/>
      <c r="J112" s="7"/>
      <c r="K112" s="7"/>
      <c r="M112" s="8" t="s">
        <v>26</v>
      </c>
      <c r="N112" s="8" t="str">
        <f aca="false">IF($M112="","",IF($M112=$C112,"match","OVERRIDE"))</f>
        <v>match</v>
      </c>
      <c r="O112" s="8" t="s">
        <v>22</v>
      </c>
      <c r="P112" s="8" t="str">
        <f aca="false">IF($O112="","",IF($O112=$H112,"match","OVERRIDE"))</f>
        <v>match</v>
      </c>
      <c r="Q112" s="8" t="s">
        <v>23</v>
      </c>
      <c r="R112" s="9"/>
    </row>
    <row r="113" customFormat="false" ht="14.25" hidden="false" customHeight="true" outlineLevel="0" collapsed="false">
      <c r="A113" s="1" t="s">
        <v>395</v>
      </c>
      <c r="B113" s="4" t="s">
        <v>396</v>
      </c>
      <c r="C113" s="5" t="s">
        <v>20</v>
      </c>
      <c r="D113" s="6"/>
      <c r="E113" s="6"/>
      <c r="F113" s="6"/>
      <c r="G113" s="4" t="s">
        <v>397</v>
      </c>
      <c r="H113" s="5" t="s">
        <v>33</v>
      </c>
      <c r="I113" s="7"/>
      <c r="J113" s="7"/>
      <c r="K113" s="7"/>
      <c r="M113" s="8" t="s">
        <v>20</v>
      </c>
      <c r="N113" s="8" t="str">
        <f aca="false">IF($M113="","",IF($M113=$C113,"match","OVERRIDE"))</f>
        <v>match</v>
      </c>
      <c r="O113" s="8" t="s">
        <v>33</v>
      </c>
      <c r="P113" s="8" t="str">
        <f aca="false">IF($O113="","",IF($O113=$H113,"match","OVERRIDE"))</f>
        <v>match</v>
      </c>
      <c r="Q113" s="8" t="s">
        <v>23</v>
      </c>
      <c r="R113" s="9"/>
    </row>
    <row r="114" customFormat="false" ht="28.5" hidden="false" customHeight="true" outlineLevel="0" collapsed="false">
      <c r="A114" s="1" t="s">
        <v>398</v>
      </c>
      <c r="B114" s="4" t="s">
        <v>399</v>
      </c>
      <c r="C114" s="5" t="s">
        <v>26</v>
      </c>
      <c r="D114" s="6"/>
      <c r="E114" s="6"/>
      <c r="F114" s="6"/>
      <c r="G114" s="4" t="s">
        <v>319</v>
      </c>
      <c r="H114" s="5" t="s">
        <v>22</v>
      </c>
      <c r="I114" s="7"/>
      <c r="J114" s="7"/>
      <c r="K114" s="7"/>
      <c r="M114" s="8" t="s">
        <v>26</v>
      </c>
      <c r="N114" s="8" t="str">
        <f aca="false">IF($M114="","",IF($M114=$C114,"match","OVERRIDE"))</f>
        <v>match</v>
      </c>
      <c r="O114" s="8" t="s">
        <v>22</v>
      </c>
      <c r="P114" s="8" t="str">
        <f aca="false">IF($O114="","",IF($O114=$H114,"match","OVERRIDE"))</f>
        <v>match</v>
      </c>
      <c r="Q114" s="8" t="s">
        <v>23</v>
      </c>
      <c r="R114" s="9"/>
    </row>
    <row r="115" customFormat="false" ht="14.25" hidden="false" customHeight="true" outlineLevel="0" collapsed="false">
      <c r="A115" s="1" t="s">
        <v>400</v>
      </c>
      <c r="B115" s="4" t="s">
        <v>401</v>
      </c>
      <c r="C115" s="5" t="s">
        <v>26</v>
      </c>
      <c r="D115" s="6"/>
      <c r="E115" s="6"/>
      <c r="F115" s="6"/>
      <c r="G115" s="4" t="s">
        <v>402</v>
      </c>
      <c r="H115" s="5"/>
      <c r="I115" s="7"/>
      <c r="J115" s="7"/>
      <c r="K115" s="7"/>
      <c r="M115" s="8" t="s">
        <v>26</v>
      </c>
      <c r="N115" s="8" t="str">
        <f aca="false">IF($M115="","",IF($M115=$C115,"match","OVERRIDE"))</f>
        <v>match</v>
      </c>
      <c r="O115" s="8" t="s">
        <v>33</v>
      </c>
      <c r="P115" s="8" t="str">
        <f aca="false">IF($O115="","",IF($O115=$H115,"match","OVERRIDE"))</f>
        <v>OVERRIDE</v>
      </c>
      <c r="Q115" s="8" t="s">
        <v>23</v>
      </c>
      <c r="R115" s="9" t="s">
        <v>403</v>
      </c>
    </row>
    <row r="116" customFormat="false" ht="28.5" hidden="false" customHeight="true" outlineLevel="0" collapsed="false">
      <c r="A116" s="1" t="s">
        <v>404</v>
      </c>
      <c r="B116" s="4" t="s">
        <v>405</v>
      </c>
      <c r="C116" s="5" t="s">
        <v>27</v>
      </c>
      <c r="D116" s="6"/>
      <c r="E116" s="6"/>
      <c r="F116" s="6"/>
      <c r="G116" s="4" t="s">
        <v>406</v>
      </c>
      <c r="H116" s="5" t="s">
        <v>40</v>
      </c>
      <c r="I116" s="7"/>
      <c r="J116" s="7"/>
      <c r="K116" s="7"/>
      <c r="M116" s="8" t="s">
        <v>27</v>
      </c>
      <c r="N116" s="8" t="str">
        <f aca="false">IF($M116="","",IF($M116=$C116,"match","OVERRIDE"))</f>
        <v>match</v>
      </c>
      <c r="O116" s="8" t="s">
        <v>40</v>
      </c>
      <c r="P116" s="8" t="str">
        <f aca="false">IF($O116="","",IF($O116=$H116,"match","OVERRIDE"))</f>
        <v>match</v>
      </c>
      <c r="Q116" s="8" t="s">
        <v>23</v>
      </c>
      <c r="R116" s="9"/>
    </row>
    <row r="117" customFormat="false" ht="28.5" hidden="false" customHeight="true" outlineLevel="0" collapsed="false">
      <c r="A117" s="1" t="s">
        <v>407</v>
      </c>
      <c r="B117" s="4" t="s">
        <v>408</v>
      </c>
      <c r="C117" s="5" t="s">
        <v>26</v>
      </c>
      <c r="D117" s="6"/>
      <c r="E117" s="6"/>
      <c r="F117" s="6"/>
      <c r="G117" s="4" t="s">
        <v>409</v>
      </c>
      <c r="H117" s="5" t="s">
        <v>22</v>
      </c>
      <c r="I117" s="7"/>
      <c r="J117" s="7"/>
      <c r="K117" s="7"/>
      <c r="M117" s="8" t="s">
        <v>26</v>
      </c>
      <c r="N117" s="8" t="str">
        <f aca="false">IF($M117="","",IF($M117=$C117,"match","OVERRIDE"))</f>
        <v>match</v>
      </c>
      <c r="O117" s="8" t="s">
        <v>22</v>
      </c>
      <c r="P117" s="8" t="str">
        <f aca="false">IF($O117="","",IF($O117=$H117,"match","OVERRIDE"))</f>
        <v>match</v>
      </c>
      <c r="Q117" s="8" t="s">
        <v>23</v>
      </c>
      <c r="R117" s="9"/>
    </row>
    <row r="118" customFormat="false" ht="28.5" hidden="false" customHeight="true" outlineLevel="0" collapsed="false">
      <c r="A118" s="1" t="s">
        <v>410</v>
      </c>
      <c r="B118" s="4" t="s">
        <v>411</v>
      </c>
      <c r="C118" s="5" t="s">
        <v>26</v>
      </c>
      <c r="D118" s="6"/>
      <c r="E118" s="6"/>
      <c r="F118" s="6"/>
      <c r="G118" s="4" t="s">
        <v>412</v>
      </c>
      <c r="H118" s="5" t="s">
        <v>300</v>
      </c>
      <c r="I118" s="7"/>
      <c r="J118" s="7"/>
      <c r="K118" s="7"/>
      <c r="M118" s="8" t="s">
        <v>26</v>
      </c>
      <c r="N118" s="8" t="str">
        <f aca="false">IF($M118="","",IF($M118=$C118,"match","OVERRIDE"))</f>
        <v>match</v>
      </c>
      <c r="O118" s="8" t="s">
        <v>300</v>
      </c>
      <c r="P118" s="8" t="str">
        <f aca="false">IF($O118="","",IF($O118=$H118,"match","OVERRIDE"))</f>
        <v>match</v>
      </c>
      <c r="Q118" s="8" t="s">
        <v>23</v>
      </c>
      <c r="R118" s="9"/>
    </row>
    <row r="119" customFormat="false" ht="14.25" hidden="false" customHeight="true" outlineLevel="0" collapsed="false">
      <c r="A119" s="1" t="s">
        <v>413</v>
      </c>
      <c r="B119" s="4" t="s">
        <v>414</v>
      </c>
      <c r="C119" s="5" t="s">
        <v>26</v>
      </c>
      <c r="D119" s="6"/>
      <c r="E119" s="6"/>
      <c r="F119" s="6"/>
      <c r="G119" s="4" t="s">
        <v>415</v>
      </c>
      <c r="H119" s="5" t="s">
        <v>78</v>
      </c>
      <c r="I119" s="7"/>
      <c r="J119" s="7"/>
      <c r="K119" s="7"/>
      <c r="M119" s="8" t="s">
        <v>26</v>
      </c>
      <c r="N119" s="8" t="str">
        <f aca="false">IF($M119="","",IF($M119=$C119,"match","OVERRIDE"))</f>
        <v>match</v>
      </c>
      <c r="O119" s="8" t="s">
        <v>78</v>
      </c>
      <c r="P119" s="8" t="str">
        <f aca="false">IF($O119="","",IF($O119=$H119,"match","OVERRIDE"))</f>
        <v>match</v>
      </c>
      <c r="Q119" s="8" t="s">
        <v>23</v>
      </c>
      <c r="R119" s="9"/>
    </row>
    <row r="120" customFormat="false" ht="28.5" hidden="false" customHeight="true" outlineLevel="0" collapsed="false">
      <c r="A120" s="1" t="s">
        <v>416</v>
      </c>
      <c r="B120" s="4" t="s">
        <v>417</v>
      </c>
      <c r="C120" s="5" t="s">
        <v>20</v>
      </c>
      <c r="D120" s="6"/>
      <c r="E120" s="6"/>
      <c r="F120" s="6"/>
      <c r="G120" s="4" t="s">
        <v>418</v>
      </c>
      <c r="H120" s="5" t="s">
        <v>22</v>
      </c>
      <c r="I120" s="7"/>
      <c r="J120" s="7"/>
      <c r="K120" s="7"/>
      <c r="M120" s="8" t="s">
        <v>20</v>
      </c>
      <c r="N120" s="8" t="str">
        <f aca="false">IF($M120="","",IF($M120=$C120,"match","OVERRIDE"))</f>
        <v>match</v>
      </c>
      <c r="O120" s="8" t="s">
        <v>22</v>
      </c>
      <c r="P120" s="8" t="str">
        <f aca="false">IF($O120="","",IF($O120=$H120,"match","OVERRIDE"))</f>
        <v>match</v>
      </c>
      <c r="Q120" s="8" t="s">
        <v>23</v>
      </c>
      <c r="R120" s="9"/>
    </row>
    <row r="121" customFormat="false" ht="14.25" hidden="false" customHeight="true" outlineLevel="0" collapsed="false">
      <c r="A121" s="1" t="s">
        <v>419</v>
      </c>
      <c r="B121" s="4" t="s">
        <v>144</v>
      </c>
      <c r="C121" s="5" t="s">
        <v>27</v>
      </c>
      <c r="D121" s="6"/>
      <c r="E121" s="6"/>
      <c r="F121" s="6"/>
      <c r="G121" s="4" t="s">
        <v>420</v>
      </c>
      <c r="H121" s="5" t="s">
        <v>421</v>
      </c>
      <c r="I121" s="7"/>
      <c r="J121" s="7"/>
      <c r="K121" s="7"/>
      <c r="M121" s="8" t="s">
        <v>27</v>
      </c>
      <c r="N121" s="8" t="str">
        <f aca="false">IF($M121="","",IF($M121=$C121,"match","OVERRIDE"))</f>
        <v>match</v>
      </c>
      <c r="O121" s="8" t="s">
        <v>421</v>
      </c>
      <c r="P121" s="8" t="str">
        <f aca="false">IF($O121="","",IF($O121=$H121,"match","OVERRIDE"))</f>
        <v>match</v>
      </c>
      <c r="Q121" s="8" t="s">
        <v>23</v>
      </c>
      <c r="R121" s="9"/>
    </row>
    <row r="122" customFormat="false" ht="14.25" hidden="false" customHeight="true" outlineLevel="0" collapsed="false">
      <c r="A122" s="1" t="s">
        <v>422</v>
      </c>
      <c r="B122" s="4" t="s">
        <v>423</v>
      </c>
      <c r="C122" s="5" t="s">
        <v>26</v>
      </c>
      <c r="D122" s="6"/>
      <c r="E122" s="6"/>
      <c r="F122" s="6"/>
      <c r="G122" s="4" t="s">
        <v>424</v>
      </c>
      <c r="H122" s="5" t="s">
        <v>425</v>
      </c>
      <c r="I122" s="7"/>
      <c r="J122" s="7"/>
      <c r="K122" s="7"/>
      <c r="M122" s="8" t="s">
        <v>26</v>
      </c>
      <c r="N122" s="8" t="str">
        <f aca="false">IF($M122="","",IF($M122=$C122,"match","OVERRIDE"))</f>
        <v>match</v>
      </c>
      <c r="O122" s="8" t="s">
        <v>166</v>
      </c>
      <c r="P122" s="8" t="str">
        <f aca="false">IF($O122="","",IF($O122=$H122,"match","OVERRIDE"))</f>
        <v>OVERRIDE</v>
      </c>
      <c r="Q122" s="8" t="s">
        <v>23</v>
      </c>
      <c r="R122" s="9" t="s">
        <v>426</v>
      </c>
    </row>
    <row r="123" customFormat="false" ht="115.5" hidden="false" customHeight="true" outlineLevel="0" collapsed="false">
      <c r="A123" s="1" t="s">
        <v>427</v>
      </c>
      <c r="B123" s="4" t="s">
        <v>428</v>
      </c>
      <c r="C123" s="5" t="s">
        <v>26</v>
      </c>
      <c r="D123" s="6"/>
      <c r="E123" s="6"/>
      <c r="F123" s="6"/>
      <c r="G123" s="4" t="s">
        <v>429</v>
      </c>
      <c r="H123" s="5" t="s">
        <v>40</v>
      </c>
      <c r="I123" s="7"/>
      <c r="J123" s="7"/>
      <c r="K123" s="7"/>
      <c r="M123" s="8" t="s">
        <v>26</v>
      </c>
      <c r="N123" s="8" t="str">
        <f aca="false">IF($M123="","",IF($M123=$C123,"match","OVERRIDE"))</f>
        <v>match</v>
      </c>
      <c r="O123" s="8" t="s">
        <v>134</v>
      </c>
      <c r="P123" s="8" t="str">
        <f aca="false">IF($O123="","",IF($O123=$H123,"match","OVERRIDE"))</f>
        <v>OVERRIDE</v>
      </c>
      <c r="Q123" s="8" t="s">
        <v>59</v>
      </c>
      <c r="R123" s="9" t="s">
        <v>430</v>
      </c>
    </row>
    <row r="124" customFormat="false" ht="14.25" hidden="false" customHeight="true" outlineLevel="0" collapsed="false">
      <c r="A124" s="1" t="s">
        <v>431</v>
      </c>
      <c r="B124" s="4" t="s">
        <v>432</v>
      </c>
      <c r="C124" s="5" t="s">
        <v>27</v>
      </c>
      <c r="D124" s="6"/>
      <c r="E124" s="6"/>
      <c r="F124" s="6"/>
      <c r="G124" s="4" t="s">
        <v>433</v>
      </c>
      <c r="H124" s="5" t="s">
        <v>22</v>
      </c>
      <c r="I124" s="7"/>
      <c r="J124" s="7"/>
      <c r="K124" s="7"/>
      <c r="M124" s="8" t="s">
        <v>27</v>
      </c>
      <c r="N124" s="8" t="str">
        <f aca="false">IF($M124="","",IF($M124=$C124,"match","OVERRIDE"))</f>
        <v>match</v>
      </c>
      <c r="O124" s="8" t="s">
        <v>40</v>
      </c>
      <c r="P124" s="8" t="str">
        <f aca="false">IF($O124="","",IF($O124=$H124,"match","OVERRIDE"))</f>
        <v>OVERRIDE</v>
      </c>
      <c r="Q124" s="8" t="s">
        <v>59</v>
      </c>
      <c r="R124" s="9" t="s">
        <v>434</v>
      </c>
    </row>
    <row r="125" customFormat="false" ht="41.25" hidden="false" customHeight="true" outlineLevel="0" collapsed="false">
      <c r="A125" s="1" t="s">
        <v>435</v>
      </c>
      <c r="B125" s="4" t="s">
        <v>436</v>
      </c>
      <c r="C125" s="5" t="s">
        <v>26</v>
      </c>
      <c r="D125" s="6"/>
      <c r="E125" s="6"/>
      <c r="F125" s="6"/>
      <c r="G125" s="4" t="s">
        <v>437</v>
      </c>
      <c r="H125" s="5" t="s">
        <v>22</v>
      </c>
      <c r="I125" s="7"/>
      <c r="J125" s="7"/>
      <c r="K125" s="7"/>
      <c r="M125" s="8" t="s">
        <v>26</v>
      </c>
      <c r="N125" s="8" t="str">
        <f aca="false">IF($M125="","",IF($M125=$C125,"match","OVERRIDE"))</f>
        <v>match</v>
      </c>
      <c r="O125" s="8" t="s">
        <v>166</v>
      </c>
      <c r="P125" s="8" t="str">
        <f aca="false">IF($O125="","",IF($O125=$H125,"match","OVERRIDE"))</f>
        <v>OVERRIDE</v>
      </c>
      <c r="Q125" s="8" t="s">
        <v>88</v>
      </c>
      <c r="R125" s="9" t="s">
        <v>438</v>
      </c>
    </row>
    <row r="126" customFormat="false" ht="28.5" hidden="false" customHeight="true" outlineLevel="0" collapsed="false">
      <c r="A126" s="1" t="s">
        <v>439</v>
      </c>
      <c r="B126" s="4" t="s">
        <v>440</v>
      </c>
      <c r="C126" s="5" t="s">
        <v>27</v>
      </c>
      <c r="D126" s="6"/>
      <c r="E126" s="6"/>
      <c r="F126" s="6"/>
      <c r="G126" s="4" t="s">
        <v>441</v>
      </c>
      <c r="H126" s="5" t="s">
        <v>40</v>
      </c>
      <c r="I126" s="7"/>
      <c r="J126" s="7"/>
      <c r="K126" s="7"/>
      <c r="M126" s="8" t="s">
        <v>27</v>
      </c>
      <c r="N126" s="8" t="str">
        <f aca="false">IF($M126="","",IF($M126=$C126,"match","OVERRIDE"))</f>
        <v>match</v>
      </c>
      <c r="O126" s="8" t="s">
        <v>40</v>
      </c>
      <c r="P126" s="8" t="str">
        <f aca="false">IF($O126="","",IF($O126=$H126,"match","OVERRIDE"))</f>
        <v>match</v>
      </c>
      <c r="Q126" s="8" t="s">
        <v>23</v>
      </c>
      <c r="R126" s="9"/>
    </row>
    <row r="127" customFormat="false" ht="43.5" hidden="false" customHeight="true" outlineLevel="0" collapsed="false">
      <c r="A127" s="1" t="s">
        <v>442</v>
      </c>
      <c r="B127" s="4" t="s">
        <v>443</v>
      </c>
      <c r="C127" s="5" t="s">
        <v>26</v>
      </c>
      <c r="D127" s="6"/>
      <c r="E127" s="6"/>
      <c r="F127" s="6"/>
      <c r="G127" s="4" t="s">
        <v>444</v>
      </c>
      <c r="H127" s="5" t="s">
        <v>22</v>
      </c>
      <c r="I127" s="7"/>
      <c r="J127" s="7"/>
      <c r="K127" s="7"/>
      <c r="M127" s="8" t="s">
        <v>26</v>
      </c>
      <c r="N127" s="8" t="str">
        <f aca="false">IF($M127="","",IF($M127=$C127,"match","OVERRIDE"))</f>
        <v>match</v>
      </c>
      <c r="O127" s="8" t="s">
        <v>22</v>
      </c>
      <c r="P127" s="8" t="str">
        <f aca="false">IF($O127="","",IF($O127=$H127,"match","OVERRIDE"))</f>
        <v>match</v>
      </c>
      <c r="Q127" s="8" t="s">
        <v>23</v>
      </c>
      <c r="R127" s="9"/>
    </row>
    <row r="128" customFormat="false" ht="57.75" hidden="false" customHeight="true" outlineLevel="0" collapsed="false">
      <c r="A128" s="1" t="s">
        <v>445</v>
      </c>
      <c r="B128" s="4" t="s">
        <v>446</v>
      </c>
      <c r="C128" s="5" t="s">
        <v>26</v>
      </c>
      <c r="D128" s="6"/>
      <c r="E128" s="6"/>
      <c r="F128" s="6"/>
      <c r="G128" s="4" t="s">
        <v>447</v>
      </c>
      <c r="H128" s="5" t="s">
        <v>22</v>
      </c>
      <c r="I128" s="7"/>
      <c r="J128" s="7"/>
      <c r="K128" s="7"/>
      <c r="M128" s="8" t="s">
        <v>26</v>
      </c>
      <c r="N128" s="8" t="str">
        <f aca="false">IF($M128="","",IF($M128=$C128,"match","OVERRIDE"))</f>
        <v>match</v>
      </c>
      <c r="O128" s="8" t="s">
        <v>29</v>
      </c>
      <c r="P128" s="8" t="str">
        <f aca="false">IF($O128="","",IF($O128=$H128,"match","OVERRIDE"))</f>
        <v>OVERRIDE</v>
      </c>
      <c r="Q128" s="8" t="s">
        <v>23</v>
      </c>
      <c r="R128" s="9" t="s">
        <v>448</v>
      </c>
    </row>
    <row r="129" customFormat="false" ht="27.75" hidden="false" customHeight="true" outlineLevel="0" collapsed="false">
      <c r="A129" s="1" t="s">
        <v>449</v>
      </c>
      <c r="B129" s="4" t="s">
        <v>450</v>
      </c>
      <c r="C129" s="5" t="s">
        <v>27</v>
      </c>
      <c r="D129" s="6"/>
      <c r="E129" s="6"/>
      <c r="F129" s="6"/>
      <c r="G129" s="4" t="s">
        <v>451</v>
      </c>
      <c r="H129" s="5" t="s">
        <v>33</v>
      </c>
      <c r="I129" s="7"/>
      <c r="J129" s="7"/>
      <c r="K129" s="7"/>
      <c r="M129" s="8" t="s">
        <v>27</v>
      </c>
      <c r="N129" s="8" t="str">
        <f aca="false">IF($M129="","",IF($M129=$C129,"match","OVERRIDE"))</f>
        <v>match</v>
      </c>
      <c r="O129" s="8" t="s">
        <v>166</v>
      </c>
      <c r="P129" s="8" t="str">
        <f aca="false">IF($O129="","",IF($O129=$H129,"match","OVERRIDE"))</f>
        <v>OVERRIDE</v>
      </c>
      <c r="Q129" s="8" t="s">
        <v>88</v>
      </c>
      <c r="R129" s="9" t="s">
        <v>452</v>
      </c>
    </row>
    <row r="130" customFormat="false" ht="28.5" hidden="false" customHeight="true" outlineLevel="0" collapsed="false">
      <c r="A130" s="1" t="s">
        <v>453</v>
      </c>
      <c r="B130" s="4" t="s">
        <v>454</v>
      </c>
      <c r="C130" s="5" t="s">
        <v>27</v>
      </c>
      <c r="D130" s="6"/>
      <c r="E130" s="6"/>
      <c r="F130" s="6"/>
      <c r="G130" s="4" t="s">
        <v>455</v>
      </c>
      <c r="H130" s="5" t="s">
        <v>46</v>
      </c>
      <c r="I130" s="7"/>
      <c r="J130" s="7"/>
      <c r="K130" s="7"/>
      <c r="M130" s="8" t="s">
        <v>27</v>
      </c>
      <c r="N130" s="8" t="str">
        <f aca="false">IF($M130="","",IF($M130=$C130,"match","OVERRIDE"))</f>
        <v>match</v>
      </c>
      <c r="O130" s="8" t="s">
        <v>83</v>
      </c>
      <c r="P130" s="8" t="str">
        <f aca="false">IF($O130="","",IF($O130=$H130,"match","OVERRIDE"))</f>
        <v>OVERRIDE</v>
      </c>
      <c r="Q130" s="8" t="s">
        <v>59</v>
      </c>
      <c r="R130" s="9" t="s">
        <v>456</v>
      </c>
    </row>
    <row r="131" customFormat="false" ht="28.5" hidden="false" customHeight="true" outlineLevel="0" collapsed="false">
      <c r="A131" s="1" t="s">
        <v>457</v>
      </c>
      <c r="B131" s="4" t="s">
        <v>458</v>
      </c>
      <c r="C131" s="5" t="s">
        <v>26</v>
      </c>
      <c r="D131" s="6"/>
      <c r="E131" s="6"/>
      <c r="F131" s="6"/>
      <c r="G131" s="4" t="s">
        <v>459</v>
      </c>
      <c r="H131" s="5" t="s">
        <v>239</v>
      </c>
      <c r="I131" s="7"/>
      <c r="J131" s="7"/>
      <c r="K131" s="7"/>
      <c r="M131" s="8" t="s">
        <v>26</v>
      </c>
      <c r="N131" s="8" t="str">
        <f aca="false">IF($M131="","",IF($M131=$C131,"match","OVERRIDE"))</f>
        <v>match</v>
      </c>
      <c r="O131" s="8" t="s">
        <v>239</v>
      </c>
      <c r="P131" s="8" t="str">
        <f aca="false">IF($O131="","",IF($O131=$H131,"match","OVERRIDE"))</f>
        <v>match</v>
      </c>
      <c r="Q131" s="8" t="s">
        <v>23</v>
      </c>
      <c r="R131" s="9"/>
    </row>
    <row r="132" customFormat="false" ht="28.5" hidden="false" customHeight="true" outlineLevel="0" collapsed="false">
      <c r="A132" s="1" t="s">
        <v>460</v>
      </c>
      <c r="B132" s="4" t="s">
        <v>25</v>
      </c>
      <c r="C132" s="5" t="s">
        <v>20</v>
      </c>
      <c r="D132" s="6"/>
      <c r="E132" s="6"/>
      <c r="F132" s="6"/>
      <c r="G132" s="4" t="s">
        <v>461</v>
      </c>
      <c r="H132" s="5" t="s">
        <v>40</v>
      </c>
      <c r="I132" s="7"/>
      <c r="J132" s="7"/>
      <c r="K132" s="7"/>
      <c r="M132" s="8" t="s">
        <v>20</v>
      </c>
      <c r="N132" s="8" t="str">
        <f aca="false">IF($M132="","",IF($M132=$C132,"match","OVERRIDE"))</f>
        <v>match</v>
      </c>
      <c r="O132" s="8" t="s">
        <v>40</v>
      </c>
      <c r="P132" s="8" t="str">
        <f aca="false">IF($O132="","",IF($O132=$H132,"match","OVERRIDE"))</f>
        <v>match</v>
      </c>
      <c r="Q132" s="8" t="s">
        <v>23</v>
      </c>
      <c r="R132" s="9"/>
    </row>
    <row r="133" customFormat="false" ht="57.75" hidden="false" customHeight="true" outlineLevel="0" collapsed="false">
      <c r="A133" s="1" t="s">
        <v>462</v>
      </c>
      <c r="B133" s="4" t="s">
        <v>19</v>
      </c>
      <c r="C133" s="5" t="s">
        <v>20</v>
      </c>
      <c r="D133" s="6"/>
      <c r="E133" s="6"/>
      <c r="F133" s="6"/>
      <c r="G133" s="4" t="s">
        <v>463</v>
      </c>
      <c r="H133" s="5" t="s">
        <v>464</v>
      </c>
      <c r="I133" s="7"/>
      <c r="J133" s="7"/>
      <c r="K133" s="7"/>
      <c r="M133" s="8" t="s">
        <v>20</v>
      </c>
      <c r="N133" s="8" t="str">
        <f aca="false">IF($M133="","",IF($M133=$C133,"match","OVERRIDE"))</f>
        <v>match</v>
      </c>
      <c r="O133" s="8" t="s">
        <v>464</v>
      </c>
      <c r="P133" s="8" t="str">
        <f aca="false">IF($O133="","",IF($O133=$H133,"match","OVERRIDE"))</f>
        <v>match</v>
      </c>
      <c r="Q133" s="8" t="s">
        <v>23</v>
      </c>
      <c r="R133" s="9"/>
    </row>
    <row r="134" customFormat="false" ht="14.25" hidden="false" customHeight="true" outlineLevel="0" collapsed="false">
      <c r="A134" s="1" t="s">
        <v>465</v>
      </c>
      <c r="B134" s="4" t="s">
        <v>466</v>
      </c>
      <c r="C134" s="5" t="s">
        <v>26</v>
      </c>
      <c r="D134" s="6"/>
      <c r="E134" s="6"/>
      <c r="F134" s="6"/>
      <c r="G134" s="4" t="s">
        <v>467</v>
      </c>
      <c r="H134" s="5" t="s">
        <v>468</v>
      </c>
      <c r="I134" s="7"/>
      <c r="J134" s="7"/>
      <c r="K134" s="7"/>
      <c r="M134" s="8" t="s">
        <v>26</v>
      </c>
      <c r="N134" s="8" t="str">
        <f aca="false">IF($M134="","",IF($M134=$C134,"match","OVERRIDE"))</f>
        <v>match</v>
      </c>
      <c r="O134" s="8" t="s">
        <v>468</v>
      </c>
      <c r="P134" s="8" t="str">
        <f aca="false">IF($O134="","",IF($O134=$H134,"match","OVERRIDE"))</f>
        <v>match</v>
      </c>
      <c r="Q134" s="8" t="s">
        <v>23</v>
      </c>
      <c r="R134" s="9"/>
    </row>
    <row r="135" customFormat="false" ht="27.75" hidden="false" customHeight="true" outlineLevel="0" collapsed="false">
      <c r="A135" s="1" t="s">
        <v>469</v>
      </c>
      <c r="B135" s="4" t="s">
        <v>470</v>
      </c>
      <c r="C135" s="5" t="s">
        <v>31</v>
      </c>
      <c r="D135" s="6"/>
      <c r="E135" s="6"/>
      <c r="F135" s="6"/>
      <c r="G135" s="4" t="s">
        <v>471</v>
      </c>
      <c r="H135" s="5" t="s">
        <v>78</v>
      </c>
      <c r="I135" s="7"/>
      <c r="J135" s="7"/>
      <c r="K135" s="7"/>
      <c r="M135" s="8" t="s">
        <v>31</v>
      </c>
      <c r="N135" s="8" t="str">
        <f aca="false">IF($M135="","",IF($M135=$C135,"match","OVERRIDE"))</f>
        <v>match</v>
      </c>
      <c r="O135" s="8" t="s">
        <v>22</v>
      </c>
      <c r="P135" s="8" t="str">
        <f aca="false">IF($O135="","",IF($O135=$H135,"match","OVERRIDE"))</f>
        <v>OVERRIDE</v>
      </c>
      <c r="Q135" s="8" t="s">
        <v>88</v>
      </c>
      <c r="R135" s="9" t="s">
        <v>472</v>
      </c>
    </row>
    <row r="136" customFormat="false" ht="14.25" hidden="false" customHeight="true" outlineLevel="0" collapsed="false">
      <c r="A136" s="1" t="s">
        <v>473</v>
      </c>
      <c r="B136" s="4" t="s">
        <v>474</v>
      </c>
      <c r="C136" s="5" t="s">
        <v>26</v>
      </c>
      <c r="D136" s="6"/>
      <c r="E136" s="6"/>
      <c r="F136" s="6"/>
      <c r="G136" s="4" t="s">
        <v>475</v>
      </c>
      <c r="H136" s="5" t="s">
        <v>46</v>
      </c>
      <c r="I136" s="7"/>
      <c r="J136" s="7"/>
      <c r="K136" s="7"/>
      <c r="M136" s="8" t="s">
        <v>26</v>
      </c>
      <c r="N136" s="8" t="str">
        <f aca="false">IF($M136="","",IF($M136=$C136,"match","OVERRIDE"))</f>
        <v>match</v>
      </c>
      <c r="O136" s="8" t="s">
        <v>476</v>
      </c>
      <c r="P136" s="8" t="str">
        <f aca="false">IF($O136="","",IF($O136=$H136,"match","OVERRIDE"))</f>
        <v>OVERRIDE</v>
      </c>
      <c r="Q136" s="8" t="s">
        <v>59</v>
      </c>
      <c r="R136" s="9" t="s">
        <v>477</v>
      </c>
    </row>
    <row r="137" customFormat="false" ht="14.25" hidden="false" customHeight="true" outlineLevel="0" collapsed="false">
      <c r="A137" s="1" t="s">
        <v>478</v>
      </c>
      <c r="B137" s="4" t="s">
        <v>66</v>
      </c>
      <c r="C137" s="5" t="s">
        <v>27</v>
      </c>
      <c r="D137" s="6"/>
      <c r="E137" s="6"/>
      <c r="F137" s="6"/>
      <c r="G137" s="4" t="s">
        <v>479</v>
      </c>
      <c r="H137" s="5" t="s">
        <v>480</v>
      </c>
      <c r="I137" s="7"/>
      <c r="J137" s="7"/>
      <c r="K137" s="7"/>
      <c r="M137" s="8" t="s">
        <v>27</v>
      </c>
      <c r="N137" s="8" t="str">
        <f aca="false">IF($M137="","",IF($M137=$C137,"match","OVERRIDE"))</f>
        <v>match</v>
      </c>
      <c r="O137" s="8" t="s">
        <v>480</v>
      </c>
      <c r="P137" s="8" t="str">
        <f aca="false">IF($O137="","",IF($O137=$H137,"match","OVERRIDE"))</f>
        <v>match</v>
      </c>
      <c r="Q137" s="8" t="s">
        <v>23</v>
      </c>
      <c r="R137" s="9"/>
    </row>
    <row r="138" customFormat="false" ht="14.25" hidden="false" customHeight="true" outlineLevel="0" collapsed="false">
      <c r="A138" s="1" t="s">
        <v>481</v>
      </c>
      <c r="B138" s="4" t="s">
        <v>66</v>
      </c>
      <c r="C138" s="5" t="s">
        <v>27</v>
      </c>
      <c r="D138" s="6"/>
      <c r="E138" s="6"/>
      <c r="F138" s="6"/>
      <c r="G138" s="4" t="s">
        <v>482</v>
      </c>
      <c r="H138" s="5" t="s">
        <v>22</v>
      </c>
      <c r="I138" s="7"/>
      <c r="J138" s="7"/>
      <c r="K138" s="7"/>
      <c r="M138" s="8" t="s">
        <v>27</v>
      </c>
      <c r="N138" s="8" t="str">
        <f aca="false">IF($M138="","",IF($M138=$C138,"match","OVERRIDE"))</f>
        <v>match</v>
      </c>
      <c r="O138" s="8" t="s">
        <v>87</v>
      </c>
      <c r="P138" s="8" t="str">
        <f aca="false">IF($O138="","",IF($O138=$H138,"match","OVERRIDE"))</f>
        <v>OVERRIDE</v>
      </c>
      <c r="Q138" s="8" t="s">
        <v>88</v>
      </c>
      <c r="R138" s="9" t="s">
        <v>483</v>
      </c>
    </row>
    <row r="139" customFormat="false" ht="14.25" hidden="false" customHeight="true" outlineLevel="0" collapsed="false">
      <c r="A139" s="1" t="s">
        <v>484</v>
      </c>
      <c r="B139" s="4" t="s">
        <v>485</v>
      </c>
      <c r="C139" s="5" t="s">
        <v>26</v>
      </c>
      <c r="D139" s="6"/>
      <c r="E139" s="6"/>
      <c r="F139" s="6"/>
      <c r="G139" s="4" t="s">
        <v>486</v>
      </c>
      <c r="H139" s="5" t="s">
        <v>480</v>
      </c>
      <c r="I139" s="7"/>
      <c r="J139" s="7"/>
      <c r="K139" s="7"/>
      <c r="M139" s="8" t="s">
        <v>26</v>
      </c>
      <c r="N139" s="8" t="str">
        <f aca="false">IF($M139="","",IF($M139=$C139,"match","OVERRIDE"))</f>
        <v>match</v>
      </c>
      <c r="O139" s="8" t="s">
        <v>480</v>
      </c>
      <c r="P139" s="8" t="str">
        <f aca="false">IF($O139="","",IF($O139=$H139,"match","OVERRIDE"))</f>
        <v>match</v>
      </c>
      <c r="Q139" s="8" t="s">
        <v>23</v>
      </c>
      <c r="R139" s="9"/>
    </row>
    <row r="140" customFormat="false" ht="14.25" hidden="false" customHeight="true" outlineLevel="0" collapsed="false">
      <c r="A140" s="1" t="s">
        <v>487</v>
      </c>
      <c r="B140" s="4" t="s">
        <v>488</v>
      </c>
      <c r="C140" s="5" t="s">
        <v>31</v>
      </c>
      <c r="D140" s="6"/>
      <c r="E140" s="6"/>
      <c r="F140" s="6"/>
      <c r="G140" s="4" t="s">
        <v>489</v>
      </c>
      <c r="H140" s="5" t="s">
        <v>22</v>
      </c>
      <c r="I140" s="7"/>
      <c r="J140" s="7"/>
      <c r="K140" s="7"/>
      <c r="M140" s="8" t="s">
        <v>26</v>
      </c>
      <c r="N140" s="8" t="str">
        <f aca="false">IF($M140="","",IF($M140=$C140,"match","OVERRIDE"))</f>
        <v>OVERRIDE</v>
      </c>
      <c r="O140" s="8" t="s">
        <v>22</v>
      </c>
      <c r="P140" s="8" t="str">
        <f aca="false">IF($O140="","",IF($O140=$H140,"match","OVERRIDE"))</f>
        <v>match</v>
      </c>
      <c r="Q140" s="8" t="s">
        <v>23</v>
      </c>
      <c r="R140" s="9" t="s">
        <v>490</v>
      </c>
    </row>
    <row r="141" customFormat="false" ht="14.25" hidden="false" customHeight="true" outlineLevel="0" collapsed="false">
      <c r="A141" s="1" t="s">
        <v>491</v>
      </c>
      <c r="B141" s="4" t="s">
        <v>492</v>
      </c>
      <c r="C141" s="5" t="s">
        <v>26</v>
      </c>
      <c r="D141" s="6"/>
      <c r="E141" s="6"/>
      <c r="F141" s="6"/>
      <c r="G141" s="4" t="s">
        <v>493</v>
      </c>
      <c r="H141" s="5" t="s">
        <v>46</v>
      </c>
      <c r="I141" s="7"/>
      <c r="J141" s="7"/>
      <c r="K141" s="7"/>
      <c r="M141" s="8" t="s">
        <v>26</v>
      </c>
      <c r="N141" s="8" t="str">
        <f aca="false">IF($M141="","",IF($M141=$C141,"match","OVERRIDE"))</f>
        <v>match</v>
      </c>
      <c r="O141" s="8" t="s">
        <v>46</v>
      </c>
      <c r="P141" s="8" t="str">
        <f aca="false">IF($O141="","",IF($O141=$H141,"match","OVERRIDE"))</f>
        <v>match</v>
      </c>
      <c r="Q141" s="8" t="s">
        <v>23</v>
      </c>
      <c r="R141" s="9"/>
    </row>
    <row r="142" customFormat="false" ht="43.5" hidden="false" customHeight="true" outlineLevel="0" collapsed="false">
      <c r="A142" s="1" t="s">
        <v>494</v>
      </c>
      <c r="B142" s="4" t="s">
        <v>495</v>
      </c>
      <c r="C142" s="5" t="s">
        <v>26</v>
      </c>
      <c r="D142" s="6"/>
      <c r="E142" s="6"/>
      <c r="F142" s="6"/>
      <c r="G142" s="4" t="s">
        <v>496</v>
      </c>
      <c r="H142" s="5" t="s">
        <v>130</v>
      </c>
      <c r="I142" s="7"/>
      <c r="J142" s="7"/>
      <c r="K142" s="7"/>
      <c r="M142" s="8" t="s">
        <v>26</v>
      </c>
      <c r="N142" s="8" t="str">
        <f aca="false">IF($M142="","",IF($M142=$C142,"match","OVERRIDE"))</f>
        <v>match</v>
      </c>
      <c r="O142" s="8" t="s">
        <v>130</v>
      </c>
      <c r="P142" s="8" t="str">
        <f aca="false">IF($O142="","",IF($O142=$H142,"match","OVERRIDE"))</f>
        <v>match</v>
      </c>
      <c r="Q142" s="8" t="s">
        <v>23</v>
      </c>
      <c r="R142" s="9"/>
    </row>
    <row r="143" customFormat="false" ht="28.5" hidden="false" customHeight="true" outlineLevel="0" collapsed="false">
      <c r="A143" s="1" t="s">
        <v>497</v>
      </c>
      <c r="B143" s="4" t="s">
        <v>498</v>
      </c>
      <c r="C143" s="5" t="s">
        <v>27</v>
      </c>
      <c r="D143" s="6"/>
      <c r="E143" s="6"/>
      <c r="F143" s="6"/>
      <c r="G143" s="4" t="s">
        <v>499</v>
      </c>
      <c r="H143" s="5" t="s">
        <v>500</v>
      </c>
      <c r="I143" s="7"/>
      <c r="J143" s="7"/>
      <c r="K143" s="7"/>
      <c r="M143" s="8" t="s">
        <v>27</v>
      </c>
      <c r="N143" s="8" t="str">
        <f aca="false">IF($M143="","",IF($M143=$C143,"match","OVERRIDE"))</f>
        <v>match</v>
      </c>
      <c r="O143" s="8" t="s">
        <v>500</v>
      </c>
      <c r="P143" s="8" t="str">
        <f aca="false">IF($O143="","",IF($O143=$H143,"match","OVERRIDE"))</f>
        <v>match</v>
      </c>
      <c r="Q143" s="8" t="s">
        <v>23</v>
      </c>
      <c r="R143" s="9"/>
    </row>
    <row r="144" customFormat="false" ht="14.25" hidden="false" customHeight="true" outlineLevel="0" collapsed="false">
      <c r="A144" s="1" t="s">
        <v>501</v>
      </c>
      <c r="B144" s="4" t="s">
        <v>502</v>
      </c>
      <c r="C144" s="5" t="s">
        <v>26</v>
      </c>
      <c r="D144" s="6"/>
      <c r="E144" s="6"/>
      <c r="F144" s="6"/>
      <c r="G144" s="4" t="s">
        <v>503</v>
      </c>
      <c r="H144" s="5" t="s">
        <v>22</v>
      </c>
      <c r="I144" s="7"/>
      <c r="J144" s="7"/>
      <c r="K144" s="7"/>
      <c r="M144" s="8" t="s">
        <v>26</v>
      </c>
      <c r="N144" s="8" t="str">
        <f aca="false">IF($M144="","",IF($M144=$C144,"match","OVERRIDE"))</f>
        <v>match</v>
      </c>
      <c r="O144" s="8" t="s">
        <v>22</v>
      </c>
      <c r="P144" s="8" t="str">
        <f aca="false">IF($O144="","",IF($O144=$H144,"match","OVERRIDE"))</f>
        <v>match</v>
      </c>
      <c r="Q144" s="8" t="s">
        <v>59</v>
      </c>
      <c r="R144" s="9" t="s">
        <v>504</v>
      </c>
    </row>
    <row r="145" customFormat="false" ht="14.25" hidden="false" customHeight="true" outlineLevel="0" collapsed="false">
      <c r="A145" s="1" t="s">
        <v>505</v>
      </c>
      <c r="B145" s="4" t="s">
        <v>506</v>
      </c>
      <c r="C145" s="5" t="s">
        <v>20</v>
      </c>
      <c r="D145" s="6"/>
      <c r="E145" s="6"/>
      <c r="F145" s="6"/>
      <c r="G145" s="4" t="s">
        <v>507</v>
      </c>
      <c r="H145" s="5" t="s">
        <v>22</v>
      </c>
      <c r="I145" s="7"/>
      <c r="J145" s="7"/>
      <c r="K145" s="7"/>
      <c r="M145" s="8" t="s">
        <v>20</v>
      </c>
      <c r="N145" s="8" t="str">
        <f aca="false">IF($M145="","",IF($M145=$C145,"match","OVERRIDE"))</f>
        <v>match</v>
      </c>
      <c r="O145" s="8" t="s">
        <v>22</v>
      </c>
      <c r="P145" s="8" t="str">
        <f aca="false">IF($O145="","",IF($O145=$H145,"match","OVERRIDE"))</f>
        <v>match</v>
      </c>
      <c r="Q145" s="8" t="s">
        <v>23</v>
      </c>
      <c r="R145" s="9"/>
    </row>
    <row r="146" customFormat="false" ht="28.5" hidden="false" customHeight="true" outlineLevel="0" collapsed="false">
      <c r="A146" s="1" t="s">
        <v>508</v>
      </c>
      <c r="B146" s="4" t="s">
        <v>509</v>
      </c>
      <c r="C146" s="5" t="s">
        <v>27</v>
      </c>
      <c r="D146" s="6"/>
      <c r="E146" s="6"/>
      <c r="F146" s="6"/>
      <c r="G146" s="4" t="s">
        <v>510</v>
      </c>
      <c r="H146" s="5" t="s">
        <v>40</v>
      </c>
      <c r="I146" s="7"/>
      <c r="J146" s="7"/>
      <c r="K146" s="7"/>
      <c r="M146" s="8" t="s">
        <v>27</v>
      </c>
      <c r="N146" s="8" t="str">
        <f aca="false">IF($M146="","",IF($M146=$C146,"match","OVERRIDE"))</f>
        <v>match</v>
      </c>
      <c r="O146" s="8" t="s">
        <v>40</v>
      </c>
      <c r="P146" s="8" t="str">
        <f aca="false">IF($O146="","",IF($O146=$H146,"match","OVERRIDE"))</f>
        <v>match</v>
      </c>
      <c r="Q146" s="8" t="s">
        <v>23</v>
      </c>
      <c r="R146" s="9"/>
    </row>
  </sheetData>
  <dataValidations count="1">
    <dataValidation allowBlank="true" errorStyle="stop" operator="between" showDropDown="false" showErrorMessage="false" showInputMessage="false" sqref="D2:F146" type="list">
      <formula1>"dependency,innovation,conditional,uncodable"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16"/>
    <col collapsed="false" customWidth="true" hidden="false" outlineLevel="0" max="4" min="4" style="0" width="82"/>
  </cols>
  <sheetData>
    <row r="1" customFormat="false" ht="15" hidden="false" customHeight="false" outlineLevel="0" collapsed="false">
      <c r="A1" s="11" t="s">
        <v>511</v>
      </c>
    </row>
    <row r="2" customFormat="false" ht="30" hidden="false" customHeight="true" outlineLevel="0" collapsed="false">
      <c r="A2" s="12" t="s">
        <v>512</v>
      </c>
      <c r="B2" s="12"/>
      <c r="C2" s="12"/>
      <c r="D2" s="12"/>
    </row>
    <row r="4" customFormat="false" ht="15" hidden="false" customHeight="false" outlineLevel="0" collapsed="false">
      <c r="A4" s="13" t="s">
        <v>513</v>
      </c>
    </row>
    <row r="5" customFormat="false" ht="15" hidden="false" customHeight="false" outlineLevel="0" collapsed="false">
      <c r="A5" s="14" t="s">
        <v>514</v>
      </c>
      <c r="B5" s="14" t="s">
        <v>515</v>
      </c>
      <c r="C5" s="14"/>
      <c r="D5" s="15" t="s">
        <v>516</v>
      </c>
    </row>
    <row r="6" customFormat="false" ht="15" hidden="false" customHeight="false" outlineLevel="0" collapsed="false">
      <c r="A6" s="14" t="s">
        <v>517</v>
      </c>
      <c r="B6" s="14" t="s">
        <v>518</v>
      </c>
      <c r="C6" s="14"/>
      <c r="D6" s="15" t="s">
        <v>519</v>
      </c>
    </row>
    <row r="7" customFormat="false" ht="15" hidden="false" customHeight="false" outlineLevel="0" collapsed="false">
      <c r="A7" s="14" t="s">
        <v>520</v>
      </c>
      <c r="B7" s="14" t="s">
        <v>521</v>
      </c>
      <c r="C7" s="14"/>
      <c r="D7" s="15" t="s">
        <v>522</v>
      </c>
    </row>
    <row r="8" customFormat="false" ht="28.35" hidden="false" customHeight="false" outlineLevel="0" collapsed="false">
      <c r="A8" s="14" t="s">
        <v>523</v>
      </c>
      <c r="B8" s="14"/>
      <c r="C8" s="14"/>
      <c r="D8" s="15" t="s">
        <v>524</v>
      </c>
    </row>
    <row r="10" customFormat="false" ht="15" hidden="false" customHeight="false" outlineLevel="0" collapsed="false">
      <c r="A10" s="13" t="s">
        <v>525</v>
      </c>
    </row>
    <row r="11" customFormat="false" ht="15" hidden="false" customHeight="false" outlineLevel="0" collapsed="false">
      <c r="A11" s="14" t="s">
        <v>526</v>
      </c>
      <c r="B11" s="14" t="n">
        <v>141</v>
      </c>
      <c r="C11" s="14" t="s">
        <v>527</v>
      </c>
      <c r="D11" s="15" t="s">
        <v>528</v>
      </c>
    </row>
    <row r="12" customFormat="false" ht="15" hidden="false" customHeight="false" outlineLevel="0" collapsed="false">
      <c r="A12" s="14" t="s">
        <v>529</v>
      </c>
      <c r="B12" s="14" t="n">
        <v>0.9929</v>
      </c>
      <c r="C12" s="14" t="s">
        <v>530</v>
      </c>
      <c r="D12" s="15" t="s">
        <v>531</v>
      </c>
    </row>
    <row r="13" customFormat="false" ht="15" hidden="false" customHeight="false" outlineLevel="0" collapsed="false">
      <c r="A13" s="14" t="s">
        <v>532</v>
      </c>
      <c r="B13" s="14" t="n">
        <v>0.8511</v>
      </c>
      <c r="C13" s="14" t="s">
        <v>533</v>
      </c>
      <c r="D13" s="15" t="s">
        <v>534</v>
      </c>
    </row>
    <row r="15" customFormat="false" ht="15" hidden="false" customHeight="false" outlineLevel="0" collapsed="false">
      <c r="A15" s="13" t="s">
        <v>535</v>
      </c>
    </row>
    <row r="16" customFormat="false" ht="15" hidden="false" customHeight="false" outlineLevel="0" collapsed="false">
      <c r="A16" s="16" t="s">
        <v>0</v>
      </c>
      <c r="B16" s="16" t="s">
        <v>536</v>
      </c>
      <c r="C16" s="16" t="s">
        <v>537</v>
      </c>
      <c r="D16" s="16" t="s">
        <v>1</v>
      </c>
    </row>
    <row r="17" customFormat="false" ht="15" hidden="false" customHeight="false" outlineLevel="0" collapsed="false">
      <c r="A17" s="17" t="s">
        <v>131</v>
      </c>
      <c r="B17" s="17" t="s">
        <v>538</v>
      </c>
      <c r="C17" s="17" t="s">
        <v>27</v>
      </c>
      <c r="D17" s="18" t="s">
        <v>132</v>
      </c>
    </row>
    <row r="18" customFormat="false" ht="15" hidden="false" customHeight="false" outlineLevel="0" collapsed="false">
      <c r="A18" s="17" t="s">
        <v>190</v>
      </c>
      <c r="B18" s="17" t="s">
        <v>538</v>
      </c>
      <c r="C18" s="17" t="s">
        <v>20</v>
      </c>
      <c r="D18" s="18" t="s">
        <v>19</v>
      </c>
    </row>
    <row r="19" customFormat="false" ht="23.85" hidden="false" customHeight="false" outlineLevel="0" collapsed="false">
      <c r="A19" s="17" t="s">
        <v>211</v>
      </c>
      <c r="B19" s="17" t="s">
        <v>538</v>
      </c>
      <c r="C19" s="17" t="s">
        <v>26</v>
      </c>
      <c r="D19" s="18" t="s">
        <v>539</v>
      </c>
    </row>
    <row r="20" customFormat="false" ht="15" hidden="false" customHeight="false" outlineLevel="0" collapsed="false">
      <c r="A20" s="17" t="s">
        <v>333</v>
      </c>
      <c r="B20" s="17" t="s">
        <v>538</v>
      </c>
      <c r="C20" s="17" t="s">
        <v>26</v>
      </c>
      <c r="D20" s="18" t="s">
        <v>540</v>
      </c>
    </row>
    <row r="21" customFormat="false" ht="15" hidden="false" customHeight="false" outlineLevel="0" collapsed="false">
      <c r="D21" s="19" t="s">
        <v>541</v>
      </c>
    </row>
    <row r="23" customFormat="false" ht="15" hidden="false" customHeight="false" outlineLevel="0" collapsed="false">
      <c r="A23" s="13" t="s">
        <v>542</v>
      </c>
    </row>
    <row r="24" customFormat="false" ht="15" hidden="false" customHeight="false" outlineLevel="0" collapsed="false">
      <c r="A24" s="16" t="s">
        <v>0</v>
      </c>
      <c r="B24" s="16" t="s">
        <v>543</v>
      </c>
      <c r="C24" s="16" t="s">
        <v>544</v>
      </c>
      <c r="D24" s="16" t="s">
        <v>545</v>
      </c>
    </row>
    <row r="25" customFormat="false" ht="15" hidden="false" customHeight="false" outlineLevel="0" collapsed="false">
      <c r="A25" s="14" t="s">
        <v>37</v>
      </c>
      <c r="B25" s="14" t="s">
        <v>546</v>
      </c>
      <c r="C25" s="14" t="s">
        <v>547</v>
      </c>
      <c r="D25" s="14" t="s">
        <v>548</v>
      </c>
    </row>
    <row r="26" customFormat="false" ht="15" hidden="false" customHeight="false" outlineLevel="0" collapsed="false">
      <c r="A26" s="14" t="s">
        <v>203</v>
      </c>
      <c r="B26" s="14" t="s">
        <v>549</v>
      </c>
      <c r="C26" s="14" t="s">
        <v>31</v>
      </c>
      <c r="D26" s="14" t="s">
        <v>550</v>
      </c>
    </row>
    <row r="27" customFormat="false" ht="15" hidden="false" customHeight="false" outlineLevel="0" collapsed="false">
      <c r="A27" s="14" t="s">
        <v>226</v>
      </c>
      <c r="B27" s="14" t="s">
        <v>549</v>
      </c>
      <c r="C27" s="14" t="s">
        <v>31</v>
      </c>
      <c r="D27" s="14" t="s">
        <v>550</v>
      </c>
    </row>
    <row r="28" customFormat="false" ht="15" hidden="false" customHeight="false" outlineLevel="0" collapsed="false">
      <c r="A28" s="14" t="s">
        <v>354</v>
      </c>
      <c r="B28" s="14" t="s">
        <v>549</v>
      </c>
      <c r="C28" s="14" t="s">
        <v>31</v>
      </c>
      <c r="D28" s="14" t="s">
        <v>550</v>
      </c>
    </row>
    <row r="29" customFormat="false" ht="15" hidden="false" customHeight="false" outlineLevel="0" collapsed="false">
      <c r="A29" s="14" t="s">
        <v>487</v>
      </c>
      <c r="B29" s="14" t="s">
        <v>549</v>
      </c>
      <c r="C29" s="14" t="s">
        <v>31</v>
      </c>
      <c r="D29" s="14" t="s">
        <v>550</v>
      </c>
    </row>
    <row r="30" customFormat="false" ht="45" hidden="false" customHeight="true" outlineLevel="0" collapsed="false">
      <c r="D30" s="19" t="s">
        <v>551</v>
      </c>
    </row>
    <row r="32" customFormat="false" ht="15" hidden="false" customHeight="false" outlineLevel="0" collapsed="false">
      <c r="A32" s="13" t="s">
        <v>552</v>
      </c>
    </row>
    <row r="33" customFormat="false" ht="15" hidden="false" customHeight="false" outlineLevel="0" collapsed="false">
      <c r="A33" s="14" t="s">
        <v>553</v>
      </c>
      <c r="B33" s="14" t="n">
        <v>21</v>
      </c>
      <c r="D33" s="15" t="s">
        <v>554</v>
      </c>
    </row>
    <row r="34" customFormat="false" ht="15" hidden="false" customHeight="false" outlineLevel="0" collapsed="false">
      <c r="A34" s="14" t="s">
        <v>555</v>
      </c>
      <c r="B34" s="14" t="n">
        <v>0</v>
      </c>
      <c r="D34" s="15" t="s">
        <v>556</v>
      </c>
    </row>
    <row r="35" customFormat="false" ht="15" hidden="false" customHeight="false" outlineLevel="0" collapsed="false">
      <c r="A35" s="14" t="s">
        <v>557</v>
      </c>
      <c r="B35" s="14" t="n">
        <v>3</v>
      </c>
      <c r="D35" s="15" t="s">
        <v>558</v>
      </c>
    </row>
    <row r="36" customFormat="false" ht="15" hidden="false" customHeight="false" outlineLevel="0" collapsed="false">
      <c r="A36" s="14" t="s">
        <v>559</v>
      </c>
      <c r="B36" s="14" t="n">
        <v>7</v>
      </c>
      <c r="D36" s="15" t="s">
        <v>560</v>
      </c>
    </row>
    <row r="38" customFormat="false" ht="15" hidden="false" customHeight="false" outlineLevel="0" collapsed="false">
      <c r="A38" s="13" t="s">
        <v>561</v>
      </c>
    </row>
    <row r="39" customFormat="false" ht="15" hidden="false" customHeight="false" outlineLevel="0" collapsed="false">
      <c r="A39" s="16" t="s">
        <v>562</v>
      </c>
      <c r="B39" s="16" t="s">
        <v>563</v>
      </c>
      <c r="C39" s="16"/>
      <c r="D39" s="16" t="s">
        <v>564</v>
      </c>
    </row>
    <row r="40" customFormat="false" ht="15" hidden="false" customHeight="false" outlineLevel="0" collapsed="false">
      <c r="A40" s="14" t="s">
        <v>166</v>
      </c>
      <c r="B40" s="14" t="n">
        <v>8</v>
      </c>
      <c r="D40" s="14" t="s">
        <v>565</v>
      </c>
    </row>
    <row r="41" customFormat="false" ht="15" hidden="false" customHeight="false" outlineLevel="0" collapsed="false">
      <c r="A41" s="14" t="s">
        <v>22</v>
      </c>
      <c r="B41" s="14" t="n">
        <v>6</v>
      </c>
      <c r="D41" s="14" t="s">
        <v>566</v>
      </c>
    </row>
    <row r="42" customFormat="false" ht="15" hidden="false" customHeight="false" outlineLevel="0" collapsed="false">
      <c r="A42" s="14" t="s">
        <v>46</v>
      </c>
      <c r="B42" s="14" t="n">
        <v>3</v>
      </c>
      <c r="D42" s="14" t="s">
        <v>567</v>
      </c>
    </row>
    <row r="43" customFormat="false" ht="15" hidden="false" customHeight="false" outlineLevel="0" collapsed="false">
      <c r="A43" s="14" t="s">
        <v>239</v>
      </c>
      <c r="B43" s="14" t="n">
        <v>2</v>
      </c>
      <c r="D43" s="14"/>
    </row>
    <row r="44" customFormat="false" ht="15" hidden="false" customHeight="false" outlineLevel="0" collapsed="false">
      <c r="A44" s="14" t="s">
        <v>568</v>
      </c>
      <c r="B44" s="14" t="n">
        <v>1</v>
      </c>
      <c r="D44" s="14"/>
    </row>
    <row r="45" customFormat="false" ht="15" hidden="false" customHeight="false" outlineLevel="0" collapsed="false">
      <c r="A45" s="14" t="s">
        <v>569</v>
      </c>
      <c r="B45" s="14" t="n">
        <v>1</v>
      </c>
      <c r="D45" s="14"/>
    </row>
    <row r="46" customFormat="false" ht="15" hidden="false" customHeight="false" outlineLevel="0" collapsed="false">
      <c r="A46" s="14" t="s">
        <v>68</v>
      </c>
      <c r="B46" s="14" t="n">
        <v>1</v>
      </c>
      <c r="D46" s="14"/>
    </row>
    <row r="47" customFormat="false" ht="28.35" hidden="false" customHeight="false" outlineLevel="0" collapsed="false">
      <c r="A47" s="14" t="s">
        <v>570</v>
      </c>
      <c r="B47" s="14" t="n">
        <v>1</v>
      </c>
      <c r="D47" s="15" t="s">
        <v>571</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30"/>
    <col collapsed="false" customWidth="true" hidden="false" outlineLevel="0" max="4" min="3" style="0" width="16"/>
    <col collapsed="false" customWidth="true" hidden="false" outlineLevel="0" max="5" min="5" style="0" width="80"/>
  </cols>
  <sheetData>
    <row r="1" customFormat="false" ht="15" hidden="false" customHeight="false" outlineLevel="0" collapsed="false">
      <c r="A1" s="11" t="s">
        <v>572</v>
      </c>
    </row>
    <row r="2" customFormat="false" ht="30" hidden="false" customHeight="true" outlineLevel="0" collapsed="false">
      <c r="A2" s="12" t="s">
        <v>573</v>
      </c>
      <c r="B2" s="12"/>
      <c r="C2" s="12"/>
      <c r="D2" s="12"/>
      <c r="E2" s="12"/>
    </row>
    <row r="4" customFormat="false" ht="15" hidden="false" customHeight="false" outlineLevel="0" collapsed="false">
      <c r="A4" s="16" t="s">
        <v>0</v>
      </c>
      <c r="B4" s="16" t="s">
        <v>574</v>
      </c>
      <c r="C4" s="16" t="s">
        <v>575</v>
      </c>
      <c r="D4" s="16" t="s">
        <v>576</v>
      </c>
      <c r="E4" s="16" t="s">
        <v>6</v>
      </c>
    </row>
    <row r="5" customFormat="false" ht="15" hidden="false" customHeight="false" outlineLevel="0" collapsed="false">
      <c r="A5" s="20" t="s">
        <v>131</v>
      </c>
      <c r="B5" s="20" t="s">
        <v>577</v>
      </c>
      <c r="C5" s="20"/>
      <c r="D5" s="20" t="s">
        <v>40</v>
      </c>
      <c r="E5" s="18" t="s">
        <v>578</v>
      </c>
    </row>
    <row r="6" customFormat="false" ht="23.85" hidden="false" customHeight="false" outlineLevel="0" collapsed="false">
      <c r="A6" s="20" t="s">
        <v>190</v>
      </c>
      <c r="B6" s="20" t="s">
        <v>577</v>
      </c>
      <c r="C6" s="20"/>
      <c r="D6" s="20" t="s">
        <v>40</v>
      </c>
      <c r="E6" s="18" t="s">
        <v>579</v>
      </c>
    </row>
    <row r="7" customFormat="false" ht="23.85" hidden="false" customHeight="false" outlineLevel="0" collapsed="false">
      <c r="A7" s="20" t="s">
        <v>211</v>
      </c>
      <c r="B7" s="20" t="s">
        <v>577</v>
      </c>
      <c r="C7" s="20"/>
      <c r="D7" s="20" t="s">
        <v>580</v>
      </c>
      <c r="E7" s="18" t="s">
        <v>581</v>
      </c>
    </row>
    <row r="8" customFormat="false" ht="26.1" hidden="false" customHeight="false" outlineLevel="0" collapsed="false">
      <c r="A8" s="20" t="s">
        <v>333</v>
      </c>
      <c r="B8" s="20" t="s">
        <v>577</v>
      </c>
      <c r="C8" s="20"/>
      <c r="D8" s="20" t="s">
        <v>582</v>
      </c>
      <c r="E8" s="18" t="s">
        <v>583</v>
      </c>
    </row>
    <row r="9" customFormat="false" ht="28.35" hidden="false" customHeight="false" outlineLevel="0" collapsed="false">
      <c r="A9" s="15" t="s">
        <v>34</v>
      </c>
      <c r="B9" s="15" t="s">
        <v>584</v>
      </c>
      <c r="C9" s="15" t="s">
        <v>29</v>
      </c>
      <c r="D9" s="15" t="s">
        <v>500</v>
      </c>
      <c r="E9" s="21" t="s">
        <v>585</v>
      </c>
    </row>
    <row r="10" customFormat="false" ht="28.35" hidden="false" customHeight="false" outlineLevel="0" collapsed="false">
      <c r="A10" s="15" t="s">
        <v>51</v>
      </c>
      <c r="B10" s="15" t="s">
        <v>584</v>
      </c>
      <c r="C10" s="15" t="s">
        <v>46</v>
      </c>
      <c r="D10" s="15" t="s">
        <v>166</v>
      </c>
      <c r="E10" s="21" t="s">
        <v>586</v>
      </c>
    </row>
    <row r="11" customFormat="false" ht="28.35" hidden="false" customHeight="false" outlineLevel="0" collapsed="false">
      <c r="A11" s="15" t="s">
        <v>98</v>
      </c>
      <c r="B11" s="15" t="s">
        <v>584</v>
      </c>
      <c r="C11" s="15" t="s">
        <v>22</v>
      </c>
      <c r="D11" s="15" t="s">
        <v>78</v>
      </c>
      <c r="E11" s="21" t="s">
        <v>587</v>
      </c>
    </row>
    <row r="12" customFormat="false" ht="28.35" hidden="false" customHeight="false" outlineLevel="0" collapsed="false">
      <c r="A12" s="15" t="s">
        <v>230</v>
      </c>
      <c r="B12" s="15" t="s">
        <v>584</v>
      </c>
      <c r="C12" s="15" t="s">
        <v>22</v>
      </c>
      <c r="D12" s="15" t="s">
        <v>78</v>
      </c>
      <c r="E12" s="21" t="s">
        <v>588</v>
      </c>
    </row>
    <row r="13" customFormat="false" ht="28.35" hidden="false" customHeight="false" outlineLevel="0" collapsed="false">
      <c r="A13" s="15" t="s">
        <v>245</v>
      </c>
      <c r="B13" s="15" t="s">
        <v>584</v>
      </c>
      <c r="C13" s="15" t="s">
        <v>83</v>
      </c>
      <c r="D13" s="15" t="s">
        <v>589</v>
      </c>
      <c r="E13" s="21" t="s">
        <v>590</v>
      </c>
    </row>
    <row r="14" customFormat="false" ht="28.35" hidden="false" customHeight="false" outlineLevel="0" collapsed="false">
      <c r="A14" s="15" t="s">
        <v>248</v>
      </c>
      <c r="B14" s="15" t="s">
        <v>584</v>
      </c>
      <c r="C14" s="15" t="s">
        <v>22</v>
      </c>
      <c r="D14" s="15" t="s">
        <v>78</v>
      </c>
      <c r="E14" s="21" t="s">
        <v>591</v>
      </c>
    </row>
    <row r="15" customFormat="false" ht="28.35" hidden="false" customHeight="false" outlineLevel="0" collapsed="false">
      <c r="A15" s="15" t="s">
        <v>469</v>
      </c>
      <c r="B15" s="15" t="s">
        <v>584</v>
      </c>
      <c r="C15" s="15" t="s">
        <v>22</v>
      </c>
      <c r="D15" s="15" t="s">
        <v>78</v>
      </c>
      <c r="E15" s="21" t="s">
        <v>592</v>
      </c>
    </row>
    <row r="16" customFormat="false" ht="28.35" hidden="false" customHeight="false" outlineLevel="0" collapsed="false">
      <c r="A16" s="15" t="s">
        <v>497</v>
      </c>
      <c r="B16" s="15" t="s">
        <v>584</v>
      </c>
      <c r="C16" s="15" t="s">
        <v>29</v>
      </c>
      <c r="D16" s="15" t="s">
        <v>500</v>
      </c>
      <c r="E16" s="21" t="s">
        <v>593</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5"/>
    <col collapsed="false" customWidth="true" hidden="false" outlineLevel="0" max="3" min="2" style="1" width="58"/>
    <col collapsed="false" customWidth="true" hidden="false" outlineLevel="0" max="4" min="4" style="1" width="15"/>
    <col collapsed="false" customWidth="true" hidden="false" outlineLevel="0" max="5" min="5" style="1" width="16"/>
    <col collapsed="false" customWidth="true" hidden="false" outlineLevel="0" max="6" min="6" style="1" width="34"/>
  </cols>
  <sheetData>
    <row r="1" customFormat="false" ht="15" hidden="false" customHeight="true" outlineLevel="0" collapsed="false">
      <c r="A1" s="22" t="s">
        <v>594</v>
      </c>
    </row>
    <row r="2" customFormat="false" ht="45" hidden="false" customHeight="true" outlineLevel="0" collapsed="false">
      <c r="A2" s="12" t="s">
        <v>595</v>
      </c>
      <c r="B2" s="12"/>
      <c r="C2" s="12"/>
      <c r="D2" s="12"/>
      <c r="E2" s="12"/>
      <c r="F2" s="12"/>
    </row>
    <row r="4" customFormat="false" ht="15" hidden="false" customHeight="true" outlineLevel="0" collapsed="false">
      <c r="A4" s="23" t="s">
        <v>0</v>
      </c>
      <c r="B4" s="23" t="s">
        <v>1</v>
      </c>
      <c r="C4" s="23" t="s">
        <v>6</v>
      </c>
      <c r="D4" s="23" t="s">
        <v>596</v>
      </c>
      <c r="E4" s="23" t="s">
        <v>597</v>
      </c>
      <c r="F4" s="23" t="s">
        <v>598</v>
      </c>
    </row>
    <row r="5" customFormat="false" ht="15" hidden="false" customHeight="true" outlineLevel="0" collapsed="false">
      <c r="A5" s="24" t="s">
        <v>372</v>
      </c>
      <c r="B5" s="25" t="str">
        <f aca="false">coding!$B105</f>
        <v>يؤدي إلى الاعتماديه</v>
      </c>
      <c r="C5" s="25" t="str">
        <f aca="false">coding!$G105</f>
        <v>لا توجد تحديات || عدم الدقة في المعلومات التي تقدمها هذه البرامج</v>
      </c>
      <c r="D5" s="26"/>
      <c r="E5" s="26"/>
      <c r="F5" s="26"/>
    </row>
    <row r="6" customFormat="false" ht="15" hidden="false" customHeight="true" outlineLevel="0" collapsed="false">
      <c r="A6" s="24" t="s">
        <v>43</v>
      </c>
      <c r="B6" s="25" t="str">
        <f aca="false">coding!$B7</f>
        <v>يعزز الابتكار الفردي</v>
      </c>
      <c r="C6" s="25" t="str">
        <f aca="false">coding!$G7</f>
        <v>صعوبة فهمه للغة || لا يفهم قواعد اللغة العربية كثيرًا</v>
      </c>
      <c r="D6" s="26"/>
      <c r="E6" s="26"/>
      <c r="F6" s="26"/>
    </row>
    <row r="7" customFormat="false" ht="15" hidden="false" customHeight="true" outlineLevel="0" collapsed="false">
      <c r="A7" s="24" t="s">
        <v>292</v>
      </c>
      <c r="B7" s="25" t="str">
        <f aca="false">coding!$B78</f>
        <v>يعزز الابتكار</v>
      </c>
      <c r="C7" s="25" t="str">
        <f aca="false">coding!$G78</f>
        <v>الإجابات غير دقيقة || لا توجد</v>
      </c>
      <c r="D7" s="26"/>
      <c r="E7" s="26"/>
      <c r="F7" s="26"/>
    </row>
    <row r="8" customFormat="false" ht="15" hidden="false" customHeight="true" outlineLevel="0" collapsed="false">
      <c r="A8" s="24" t="s">
        <v>98</v>
      </c>
      <c r="B8" s="25" t="str">
        <f aca="false">coding!$B20</f>
        <v>يعتمد على طريقة الاستخدام</v>
      </c>
      <c r="C8" s="25" t="str">
        <f aca="false">coding!$G20</f>
        <v>عدم دقة المعلومات اللتي يقدمها و ضعف الفهم للسياق احيانا || لا توجد</v>
      </c>
      <c r="D8" s="26"/>
      <c r="E8" s="26"/>
      <c r="F8" s="26"/>
    </row>
    <row r="9" customFormat="false" ht="15" hidden="false" customHeight="true" outlineLevel="0" collapsed="false">
      <c r="A9" s="24" t="s">
        <v>143</v>
      </c>
      <c r="B9" s="25" t="str">
        <f aca="false">coding!$B33</f>
        <v>الابتكار</v>
      </c>
      <c r="C9" s="25" t="str">
        <f aca="false">coding!$G33</f>
        <v>لا يتعرف على قواعد العربية || لا يتعمق في الاجابة</v>
      </c>
      <c r="D9" s="26"/>
      <c r="E9" s="26"/>
      <c r="F9" s="26"/>
    </row>
    <row r="10" customFormat="false" ht="115.5" hidden="false" customHeight="true" outlineLevel="0" collapsed="false">
      <c r="A10" s="24" t="s">
        <v>190</v>
      </c>
      <c r="B10" s="25" t="str">
        <f aca="false">coding!$B47</f>
        <v>الاعتمادية</v>
      </c>
      <c r="C10" s="25" t="str">
        <f aca="false">coding!$G47</f>
        <v>الدقة في التحليل اللغوي العميق: رغم تطور النماذج، إلا أنها قد تخفق أحياناً في ضبط "أواخر الكلم" أو إعراب الجمل المعقدة التي تعتمد على السياق البعيد أو التقدير (كالمحذوفات والتقديم والتأخير)، مما قد يؤدي لنتائج غير دقيقة في التخصصات اللغوية الدقيقة. || من أبرز التجارب السلبية هي "الهلوسة اللغوية في الإعراب"؛ حيث طلبتُ من الذكاء الاصطناعي إعراب بيت شعري يتضمن "تقديمًا وتأخيرًا" معقدًا، فقام بإعراب الكلمات بشكل منفرد وصحيح ظاهريًا، لكنه أخطأ تمامًا في ربط المعنى، فجعل "الفاعل" "مفعولًا به" لمجرد أنه تقدم عليه في الترتيب. هذه التجربة كانت مربكة لأن الإجابة صيغت بثقة تامة، مما قد يضلل الطالب الذي لا يملك خلفية قوية، وأثبتت لي أن الذكاء الاصطناعي أحيانًا يفتقر إلى "الذوق السياقي"</v>
      </c>
      <c r="D10" s="26"/>
      <c r="E10" s="26"/>
      <c r="F10" s="26"/>
    </row>
    <row r="11" customFormat="false" ht="34.5" hidden="false" customHeight="true" outlineLevel="0" collapsed="false">
      <c r="A11" s="24" t="s">
        <v>392</v>
      </c>
      <c r="B11" s="25" t="str">
        <f aca="false">coding!$B112</f>
        <v>كلاهما، حيث ربما يعتمد عليه الطلاب في استخراج الأفكار والعناوين والمصادر لكنه يعزز من تعزيز فكر الطالب وطريقته للبحث وأن ينظر للأأمور من زاوية أخرى دائمًا</v>
      </c>
      <c r="C11" s="25" t="str">
        <f aca="false">coding!$G112</f>
        <v>أنه يعطي أحيانًا معلومات غير دقيقة ويظن أنها صحيحة || عدم دقة المعلومات وأنه أبدًا لا يعترف بالخطأ أو قول لا اعرف الاجابة</v>
      </c>
      <c r="D11" s="26"/>
      <c r="E11" s="26"/>
      <c r="F11" s="26"/>
    </row>
    <row r="12" customFormat="false" ht="48" hidden="false" customHeight="true" outlineLevel="0" collapsed="false">
      <c r="A12" s="24" t="s">
        <v>280</v>
      </c>
      <c r="B12" s="25" t="str">
        <f aca="false">coding!$B74</f>
        <v>يعزز الابتكار إذا استُخدم كأداة "مساعدة" للبحث والتحليل، لكنه قد يؤدي للاعتمادية إذا استُخدم كبديل كلي عن التفكير النقدي والجهد الشخصي.</v>
      </c>
      <c r="C12" s="25" t="str">
        <f aca="false">coding!$G74</f>
        <v>ضعف الدقة في التعامل مع القواعد النحوية المعقدة، ومحدودية قدرة الأدوات الحالية على فهم السياقات البلاغية العميقة للنصوص التراثية. || الحصول على إجابات تحتوي على "هلوسة لغوية"، مثل ابتكار قواعد نحوية غير صحيحة أو نسب أبيات شعرية لشعراء لم يكتبوها.</v>
      </c>
      <c r="D12" s="26"/>
      <c r="E12" s="26"/>
      <c r="F12" s="26"/>
    </row>
    <row r="13" customFormat="false" ht="25.5" hidden="false" customHeight="true" outlineLevel="0" collapsed="false">
      <c r="A13" s="24" t="s">
        <v>497</v>
      </c>
      <c r="B13" s="25" t="str">
        <f aca="false">coding!$B143</f>
        <v>بالنسبة لي يساعدني في التحليل والابتكار وسعة الأفق</v>
      </c>
      <c r="C13" s="25" t="str">
        <f aca="false">coding!$G143</f>
        <v>عدم دقة المعلومات، واختلاف الإجابة مع اختلاف صياغة السؤال وإن كانت الفكرة واحدة || عدم الدقة! والمصادر الموهومة!</v>
      </c>
      <c r="D13" s="26"/>
      <c r="E13" s="26"/>
      <c r="F13" s="26"/>
    </row>
    <row r="14" customFormat="false" ht="15" hidden="false" customHeight="true" outlineLevel="0" collapsed="false">
      <c r="A14" s="24" t="s">
        <v>484</v>
      </c>
      <c r="B14" s="25" t="str">
        <f aca="false">coding!$B139</f>
        <v>يعتمد على استخدام الشخص</v>
      </c>
      <c r="C14" s="25" t="str">
        <f aca="false">coding!$G139</f>
        <v>عدم توفرها بالجودة العالية || لا يجيد اللغة العربية جيدا</v>
      </c>
      <c r="D14" s="26"/>
      <c r="E14" s="26"/>
      <c r="F14" s="26"/>
    </row>
    <row r="15" customFormat="false" ht="48" hidden="false" customHeight="true" outlineLevel="0" collapsed="false">
      <c r="A15" s="24" t="s">
        <v>297</v>
      </c>
      <c r="B15" s="25" t="str">
        <f aca="false">coding!$B80</f>
        <v>على حسب الفرد، يمكن أن يتشاركا العلمية الإبداعية، فالآلة والذكاء الاصطناعي وحده لا يجلبُ إبداعًا، إنما هو يحلل ويخطط ويقترح أسرعن لكن الجانب الإبداعي والتفكيري يكون عنج الإنسان، وإذا استخدمه الإنسان بطريقة صحيحة يمكن أن يصل لدرجة كبيرة من الإتقان والإبتكار والإبداع.</v>
      </c>
      <c r="C15" s="25" t="str">
        <f aca="false">coding!$G80</f>
        <v>صعوبة فهمه للعربية، ويجب إدخال معلومات صحيحة له، لأنه قد يأتي بعلمٍ وحده، أو يفسّر شيئًا خاطئًا بطريقة تجعلك تقتنع به، وكذلك محدودية الوصول المجاني || لا يستطيع تحليل الأبيات الشعرية، عندما لم أجد شرحًا لا في الكتب ولا في الشبكة المعلوماتية، استنعت بالذكاء، لكنه لا يحلل بشكل صحيح</v>
      </c>
      <c r="D15" s="26"/>
      <c r="E15" s="26"/>
      <c r="F15" s="26"/>
    </row>
    <row r="16" customFormat="false" ht="15" hidden="false" customHeight="true" outlineLevel="0" collapsed="false">
      <c r="A16" s="24" t="s">
        <v>252</v>
      </c>
      <c r="B16" s="25" t="str">
        <f aca="false">coding!$B66</f>
        <v>الاعتمادية</v>
      </c>
      <c r="C16" s="25" t="str">
        <f aca="false">coding!$G66</f>
        <v>لاتوجد || تحليل الشعر بشكل غير صحيح</v>
      </c>
      <c r="D16" s="26"/>
      <c r="E16" s="26"/>
      <c r="F16" s="26"/>
    </row>
    <row r="17" customFormat="false" ht="15" hidden="false" customHeight="true" outlineLevel="0" collapsed="false">
      <c r="A17" s="24" t="s">
        <v>118</v>
      </c>
      <c r="B17" s="25" t="str">
        <f aca="false">coding!$B26</f>
        <v>كلاهما</v>
      </c>
      <c r="C17" s="25" t="str">
        <f aca="false">coding!$G26</f>
        <v>عدم الدقة في المعلومات-كثرة الأخطاء || معلومة خاطئة</v>
      </c>
      <c r="D17" s="26"/>
      <c r="E17" s="26"/>
      <c r="F17" s="26"/>
    </row>
    <row r="18" customFormat="false" ht="15" hidden="false" customHeight="true" outlineLevel="0" collapsed="false">
      <c r="A18" s="24" t="s">
        <v>75</v>
      </c>
      <c r="B18" s="25" t="str">
        <f aca="false">coding!$B15</f>
        <v>الآثنين معاً</v>
      </c>
      <c r="C18" s="25" t="str">
        <f aca="false">coding!$G15</f>
        <v>قلة المعرفه به و المعلومات المغلوطه || التحليل الغير دقيق مثلا</v>
      </c>
      <c r="D18" s="26"/>
      <c r="E18" s="26"/>
      <c r="F18" s="26"/>
    </row>
    <row r="19" customFormat="false" ht="25.5" hidden="false" customHeight="true" outlineLevel="0" collapsed="false">
      <c r="A19" s="24" t="s">
        <v>115</v>
      </c>
      <c r="B19" s="25" t="str">
        <f aca="false">coding!$B25</f>
        <v>قد يؤدي إلى الاعتمادية في حال عدم التدقيق خلفه وعدم التأكد، ولكن قد يعزز روح النقد لديك في حال تتبعت المعلومة وتأكدت من صحتها خلفه.</v>
      </c>
      <c r="C19" s="25" t="str">
        <f aca="false">coding!$G25</f>
        <v>دقة المعلومات، وموثوقيتها || بعض المعلومات التي يأتي بها خاطئة، أو لادخل لها بالموضوع الذي أبحث عنه.</v>
      </c>
      <c r="D19" s="26"/>
      <c r="E19" s="26"/>
      <c r="F19" s="26"/>
    </row>
    <row r="20" customFormat="false" ht="23.25" hidden="false" customHeight="true" outlineLevel="0" collapsed="false">
      <c r="A20" s="24" t="s">
        <v>508</v>
      </c>
      <c r="B20" s="25" t="str">
        <f aca="false">coding!$B146</f>
        <v>يعزز الفردية والابتكار</v>
      </c>
      <c r="C20" s="25" t="str">
        <f aca="false">coding!$G146</f>
        <v>عدم إعطاء الطالب المعلومة الدقيقة والكافية لما يبحث عنه || عند البحث عن اعراب جملة ما فإنه يقوم بإعرابها بشكل خاطئ وغير دقيق</v>
      </c>
      <c r="D20" s="26"/>
      <c r="E20" s="26"/>
      <c r="F20" s="26"/>
    </row>
    <row r="21" customFormat="false" ht="25.5" hidden="false" customHeight="true" outlineLevel="0" collapsed="false">
      <c r="A21" s="24" t="s">
        <v>348</v>
      </c>
      <c r="B21" s="25" t="str">
        <f aca="false">coding!$B97</f>
        <v>قد يؤدي إلى الاعتمادية عند استخدامه بشكل مبالغ، ولكنه أحيانًا يعزز من الابتكار عندما يبدأ بإعطائك أفكار إضافية على فكرتك الأساسية مما يعزز من قوتها.</v>
      </c>
      <c r="C21" s="25" t="str">
        <f aca="false">coding!$G97</f>
        <v>الحصول على معلومات غير موثوقة. || شرح سطحي للأبيات الشعرية، وكذلك بالنسبة للبلاغة، كما أنه يخلط كثيرًا بين قواعد النحو والصرف.</v>
      </c>
      <c r="D21" s="26"/>
      <c r="E21" s="26"/>
      <c r="F21" s="26"/>
    </row>
    <row r="22" customFormat="false" ht="34.5" hidden="false" customHeight="true" outlineLevel="0" collapsed="false">
      <c r="A22" s="24" t="s">
        <v>328</v>
      </c>
      <c r="B22" s="25" t="str">
        <f aca="false">coding!$B90</f>
        <v>الاعتمادية</v>
      </c>
      <c r="C22" s="25" t="str">
        <f aca="false">coding!$G90</f>
        <v>الاعتماد عليه أحيانا مثلا في تحليل نص أدبي يحد من قدرتك على التفكير ويقيدك بما هو موجود أمامك من شرح أو إيضاح أو تحليل || عدم الدقة فيه خاصة في الإعراب والبلاغة</v>
      </c>
      <c r="D22" s="26"/>
      <c r="E22" s="26"/>
      <c r="F22" s="26"/>
    </row>
    <row r="23" customFormat="false" ht="15" hidden="false" customHeight="true" outlineLevel="0" collapsed="false">
      <c r="A23" s="24" t="s">
        <v>55</v>
      </c>
      <c r="B23" s="25" t="str">
        <f aca="false">coding!$B10</f>
        <v>كلاهما</v>
      </c>
      <c r="C23" s="25" t="str">
        <f aca="false">coding!$G10</f>
        <v>التدقيق اللغوي والاملائي || دقة المراجع</v>
      </c>
      <c r="D23" s="26"/>
      <c r="E23" s="26"/>
      <c r="F23" s="26"/>
    </row>
    <row r="24" customFormat="false" ht="34.5" hidden="false" customHeight="true" outlineLevel="0" collapsed="false">
      <c r="A24" s="24" t="s">
        <v>322</v>
      </c>
      <c r="B24" s="25" t="str">
        <f aca="false">coding!$B88</f>
        <v>أرى أنه يعتمد على كيفية الإستخدام</v>
      </c>
      <c r="C24" s="25" t="str">
        <f aca="false">coding!$G88</f>
        <v>دقة الإجابات و ندرة المراجع الموثوقة التي يعتمد عليها الذكاء الاصطناعي في الإجابة || عندما طلبت من الذكاء الاصطناعي ان يحل لي سؤال نحوي يجمع بين أكثر من قاعدة لم يستطع حله بالشكل الصحيح</v>
      </c>
      <c r="D24" s="26"/>
      <c r="E24" s="26"/>
      <c r="F24" s="26"/>
    </row>
    <row r="25" customFormat="false" ht="70.5" hidden="false" customHeight="true" outlineLevel="0" collapsed="false">
      <c r="A25" s="24" t="s">
        <v>211</v>
      </c>
      <c r="B25" s="25" t="str">
        <f aca="false">coding!$B54</f>
        <v>هو "سلاح ذو حدين"؛ فقد يؤدي للاعتمادية إذا اكتفى الطالب بالمخرجات الجاهزة، لكنه يعزز الابتكار إذا استُخدم كـ "مساعد بحثي" لتوليد أفكار أولية، أو للمقارنة بين النصوص، أو لتنظيم البيانات الضخمة، مما يفرغ ذهن الباحث للتحليل الإبداعي العميق.</v>
      </c>
      <c r="C25" s="25" t="str">
        <f aca="false">coding!$G54</f>
        <v>أبرز التحديات هي "عدم الدقة في ضبط النصوص وتشكيلها" بشكل صحيح تماماً، بالإضافة إلى ضعف قدرة بعض الأدوات على فهم "المجاز والكناية" وخصوصية الأدب العربي القديم، مما قد يؤدي إلى تفسيرات سطحية أو خاطئة أحياناً. || واجهتُ تجربة قام فيها الذكاء الاصطناعي بـ "اختلاق" أبيات شعرية ونسبها لشاعر جاهلي، أو خلطه بين قواعد النحو لمدرسة البصرة والكوفة في مسألة خلافية واحدة، مما جعلني أدرك أهمية التحقق من المصادر وعدم التسليم المطلق بصحة النتائج.</v>
      </c>
      <c r="D25" s="26"/>
      <c r="E25" s="26"/>
      <c r="F25" s="26"/>
    </row>
    <row r="26" customFormat="false" ht="15" hidden="false" customHeight="true" outlineLevel="0" collapsed="false">
      <c r="A26" s="24" t="s">
        <v>248</v>
      </c>
      <c r="B26" s="25" t="str">
        <f aca="false">coding!$B65</f>
        <v>لا</v>
      </c>
      <c r="C26" s="25" t="str">
        <f aca="false">coding!$G65</f>
        <v>صعوبتها || خطا في المعلومات</v>
      </c>
      <c r="D26" s="26"/>
      <c r="E26" s="26"/>
      <c r="F26" s="26"/>
    </row>
    <row r="27" customFormat="false" ht="15" hidden="false" customHeight="true" outlineLevel="0" collapsed="false">
      <c r="A27" s="24" t="s">
        <v>269</v>
      </c>
      <c r="B27" s="25" t="str">
        <f aca="false">coding!$B71</f>
        <v>يعزز الابتكار</v>
      </c>
      <c r="C27" s="25" t="str">
        <f aca="false">coding!$G71</f>
        <v>المعرفة || كتابة الشعر</v>
      </c>
      <c r="D27" s="26"/>
      <c r="E27" s="26"/>
      <c r="F27" s="26"/>
    </row>
    <row r="28" customFormat="false" ht="15" hidden="false" customHeight="true" outlineLevel="0" collapsed="false">
      <c r="A28" s="24" t="s">
        <v>178</v>
      </c>
      <c r="B28" s="25" t="str">
        <f aca="false">coding!$B43</f>
        <v>يؤدي إلى الاعتمادية</v>
      </c>
      <c r="C28" s="25" t="str">
        <f aca="false">coding!$G43</f>
        <v>الحصول على إجابات دقيقة || كثيرا ما يؤلف من عنده خاصة الشواهد</v>
      </c>
      <c r="D28" s="26"/>
      <c r="E28" s="26"/>
      <c r="F28" s="26"/>
    </row>
    <row r="29" customFormat="false" ht="15" hidden="false" customHeight="true" outlineLevel="0" collapsed="false">
      <c r="A29" s="24" t="s">
        <v>337</v>
      </c>
      <c r="B29" s="25" t="str">
        <f aca="false">coding!$B93</f>
        <v>يعزز الابتكار</v>
      </c>
      <c r="C29" s="25" t="str">
        <f aca="false">coding!$G93</f>
        <v>. || الخلط بي القواعد النحوية والبلاغية والصرفية</v>
      </c>
      <c r="D29" s="26"/>
      <c r="E29" s="26"/>
      <c r="F29" s="26"/>
    </row>
    <row r="30" customFormat="false" ht="15" hidden="false" customHeight="true" outlineLevel="0" collapsed="false">
      <c r="A30" s="24" t="s">
        <v>339</v>
      </c>
      <c r="B30" s="25" t="str">
        <f aca="false">coding!$B94</f>
        <v>الاثنان معًا يعتمد على الفرد نفسه</v>
      </c>
      <c r="C30" s="25" t="str">
        <f aca="false">coding!$G94</f>
        <v>عدم دقة معلومات الذكاء الاصطناعي || المعلومات المغلوطة</v>
      </c>
      <c r="D30" s="26"/>
      <c r="E30" s="26"/>
      <c r="F30" s="26"/>
    </row>
    <row r="31" customFormat="false" ht="48" hidden="false" customHeight="true" outlineLevel="0" collapsed="false">
      <c r="A31" s="24" t="s">
        <v>149</v>
      </c>
      <c r="B31" s="25" t="str">
        <f aca="false">coding!$B35</f>
        <v>هذا الأمر نسبي و يعتمد على عقلية من يستخدمه</v>
      </c>
      <c r="C31" s="25" t="str">
        <f aca="false">coding!$G35</f>
        <v>أنه لا يفقه اللغة العربية بالشكل الذي أتطلع له || طلبت منه مساعدتي في حل واجب منزلي و لم أحصل في هذا الواجب على درجة كاملة مثلما توقعت (اعتمدت على الذكاء الاصطناعي بنسبة ٩٨% تقريبا) و هذا عزز نبوءة دكتور المقرر أن الذكاء الاصطناعي لن يفيدنا في حل ذلك الواجب، و قد كنت أحاول إثبات العكس...</v>
      </c>
      <c r="D31" s="26"/>
      <c r="E31" s="26"/>
      <c r="F31" s="26"/>
    </row>
    <row r="32" customFormat="false" ht="34.5" hidden="false" customHeight="true" outlineLevel="0" collapsed="false">
      <c r="A32" s="24" t="s">
        <v>37</v>
      </c>
      <c r="B32" s="25" t="str">
        <f aca="false">coding!$B6</f>
        <v>يهدم الابتكار والفردية</v>
      </c>
      <c r="C32" s="25" t="str">
        <f aca="false">coding!$G6</f>
        <v>لا يمكن الاعتماد عليه في الدراسة، يمكن استخدامه فقط للبحث عن معلومات سطحية، ولا يصلح لشيء أعمق من ذلك || لا يستطيع الذكاء الاصطناعي التعامل مع اللغة العربية الا في ابسط الحالات</v>
      </c>
      <c r="D32" s="26"/>
      <c r="E32" s="26"/>
      <c r="F32" s="26"/>
    </row>
    <row r="33" customFormat="false" ht="15" hidden="false" customHeight="true" outlineLevel="0" collapsed="false">
      <c r="A33" s="24" t="s">
        <v>277</v>
      </c>
      <c r="B33" s="25" t="str">
        <f aca="false">coding!$B73</f>
        <v>يعزز الابتكاريع</v>
      </c>
      <c r="C33" s="25" t="str">
        <f aca="false">coding!$G73</f>
        <v>وايد تحديات || ما يعرف يعرب</v>
      </c>
      <c r="D33" s="26"/>
      <c r="E33" s="26"/>
      <c r="F33" s="26"/>
    </row>
    <row r="34" customFormat="false" ht="23.25" hidden="false" customHeight="true" outlineLevel="0" collapsed="false">
      <c r="A34" s="24" t="s">
        <v>407</v>
      </c>
      <c r="B34" s="25" t="str">
        <f aca="false">coding!$B117</f>
        <v>على حسب الشخص</v>
      </c>
      <c r="C34" s="25" t="str">
        <f aca="false">coding!$G117</f>
        <v>عدم التيقن من اجابه الذكاء الاصطناعي فتارة يصيب وتارة يخطئ || اردت البحث عن معلومه واعطاني معلومات خاطئة</v>
      </c>
      <c r="D34" s="26"/>
      <c r="E34" s="26"/>
      <c r="F34" s="26"/>
    </row>
    <row r="35" customFormat="false" ht="15" hidden="false" customHeight="true" outlineLevel="0" collapsed="false">
      <c r="A35" s="24" t="s">
        <v>171</v>
      </c>
      <c r="B35" s="25" t="str">
        <f aca="false">coding!$B41</f>
        <v>-</v>
      </c>
      <c r="C35" s="25" t="str">
        <f aca="false">coding!$G41</f>
        <v>- || -</v>
      </c>
      <c r="D35" s="26"/>
      <c r="E35" s="26"/>
      <c r="F35" s="26"/>
    </row>
    <row r="36" customFormat="false" ht="57" hidden="false" customHeight="true" outlineLevel="0" collapsed="false">
      <c r="A36" s="24" t="s">
        <v>241</v>
      </c>
      <c r="B36" s="25" t="str">
        <f aca="false">coding!$B63</f>
        <v>هو وسط بين هذ وذاك ويرجع في الأخير إلى كيفية استعمال الشخص له والغرض والهدف منه فقد يؤدي إلى الاعتمادية بشكل كبير إذا استعمله الشخص وقام بنسخ المعلومات ونسقها دون قراءتها ومعالجتها وخصوصا في آداء البحوث وقد يستخدمه الشخص في تلقي الأفكار فقط بينهما يقول بمعالجتها وتحليلها بنفسه فقد يدفعه ذلك للابتكار والاعتماد على النفس</v>
      </c>
      <c r="C36" s="25" t="str">
        <f aca="false">coding!$G63</f>
        <v>المعلومات غير دقيقة في بعض الأحيان ، ولا يتناول التحليل العميق || في تحليل النصوص وفهم المعنى العام من البيت فيساعد على تحليله وفهمه بلاغيا</v>
      </c>
      <c r="D36" s="26"/>
      <c r="E36" s="26"/>
      <c r="F36" s="26"/>
    </row>
    <row r="37" customFormat="false" ht="25.5" hidden="false" customHeight="true" outlineLevel="0" collapsed="false">
      <c r="A37" s="24" t="s">
        <v>453</v>
      </c>
      <c r="B37" s="25" t="str">
        <f aca="false">coding!$B130</f>
        <v>يعزز الابتكار والتفكير الفردي</v>
      </c>
      <c r="C37" s="25" t="str">
        <f aca="false">coding!$G130</f>
        <v>عدم استطاعته قراءة الكتب الالكترونية وتحديد رقم الصفحات || التجربة السلبية دائماً تكمن في الإعراب، وكذلك تحديد رقم الصفحات والإجابات المتكررة.</v>
      </c>
      <c r="D37" s="26"/>
      <c r="E37" s="26"/>
      <c r="F37" s="26"/>
    </row>
    <row r="38" customFormat="false" ht="15" hidden="false" customHeight="true" outlineLevel="0" collapsed="false">
      <c r="A38" s="24" t="s">
        <v>183</v>
      </c>
      <c r="B38" s="25" t="str">
        <f aca="false">coding!$B45</f>
        <v>يؤدي إلى الاعتمادية بشكل اكبر.</v>
      </c>
      <c r="C38" s="25" t="str">
        <f aca="false">coding!$G45</f>
        <v>عدم دقة المعلومات || عدم دقة المعلومات و التحليل .</v>
      </c>
      <c r="D38" s="26"/>
      <c r="E38" s="26"/>
      <c r="F38" s="26"/>
    </row>
    <row r="39" customFormat="false" ht="15" hidden="false" customHeight="true" outlineLevel="0" collapsed="false">
      <c r="A39" s="24" t="s">
        <v>491</v>
      </c>
      <c r="B39" s="25" t="str">
        <f aca="false">coding!$B141</f>
        <v>الجانبان</v>
      </c>
      <c r="C39" s="25" t="str">
        <f aca="false">coding!$G141</f>
        <v>الأخطاء النحوية والصرفية || لا يوجد</v>
      </c>
      <c r="D39" s="26"/>
      <c r="E39" s="26"/>
      <c r="F39" s="26"/>
    </row>
    <row r="40" customFormat="false" ht="15" hidden="false" customHeight="true" outlineLevel="0" collapsed="false">
      <c r="A40" s="24" t="s">
        <v>203</v>
      </c>
      <c r="B40" s="25" t="str">
        <f aca="false">coding!$B52</f>
        <v>هذا وهذا</v>
      </c>
      <c r="C40" s="25" t="str">
        <f aca="false">coding!$G52</f>
        <v>- || يهرف بما لا يعرف في النحو والاشتقاق</v>
      </c>
      <c r="D40" s="26"/>
      <c r="E40" s="26"/>
      <c r="F40" s="26"/>
    </row>
    <row r="42" customFormat="false" ht="15" hidden="false" customHeight="true" outlineLevel="0" collapsed="false">
      <c r="A42" s="22" t="s">
        <v>599</v>
      </c>
    </row>
    <row r="43" customFormat="false" ht="15" hidden="false" customHeight="true" outlineLevel="0" collapsed="false">
      <c r="A43" s="24" t="s">
        <v>600</v>
      </c>
      <c r="B43" s="27" t="s">
        <v>601</v>
      </c>
    </row>
    <row r="44" customFormat="false" ht="15" hidden="false" customHeight="true" outlineLevel="0" collapsed="false">
      <c r="A44" s="24" t="s">
        <v>602</v>
      </c>
      <c r="B44" s="27" t="n">
        <f aca="false">SUMPRODUCT(--($D$5:$D$40&lt;&gt;""))</f>
        <v>0</v>
      </c>
    </row>
    <row r="45" customFormat="false" ht="15" hidden="false" customHeight="true" outlineLevel="0" collapsed="false">
      <c r="A45" s="24" t="s">
        <v>603</v>
      </c>
      <c r="B45" s="27" t="n">
        <f aca="false">SUMPRODUCT(($D$5:$D$40&lt;&gt;"")*($D$5:$D$40=IF($A$5:$A$40="","",INDEX(coding!$M$1:$M$146,MATCH($A$5:$A$40,coding!$A$1:$A$146,0)))))</f>
        <v>0</v>
      </c>
    </row>
    <row r="46" customFormat="false" ht="15" hidden="false" customHeight="true" outlineLevel="0" collapsed="false">
      <c r="A46" s="24" t="s">
        <v>604</v>
      </c>
      <c r="B46" s="28" t="str">
        <f aca="false">IFERROR($B$45/$B$44,"")</f>
        <v/>
      </c>
    </row>
    <row r="47" customFormat="false" ht="15" hidden="false" customHeight="true" outlineLevel="0" collapsed="false">
      <c r="A47" s="29" t="s">
        <v>605</v>
      </c>
    </row>
  </sheetData>
  <mergeCells count="1">
    <mergeCell ref="A2:F2"/>
  </mergeCells>
  <dataValidations count="1">
    <dataValidation allowBlank="true" errorStyle="stop" operator="between" showDropDown="false" showErrorMessage="false" showInputMessage="false" sqref="D5:D40" type="list">
      <formula1>"dependency,innovation,conditional,uncodable"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4.25" zeroHeight="false" outlineLevelRow="0" outlineLevelCol="0"/>
  <cols>
    <col collapsed="false" customWidth="true" hidden="false" outlineLevel="0" max="1" min="1" style="1" width="58"/>
    <col collapsed="false" customWidth="true" hidden="false" outlineLevel="0" max="2" min="2" style="1" width="14"/>
    <col collapsed="false" customWidth="true" hidden="false" outlineLevel="0" max="3" min="3" style="1" width="36"/>
    <col collapsed="false" customWidth="true" hidden="false" outlineLevel="0" max="4" min="4" style="1" width="86"/>
  </cols>
  <sheetData>
    <row r="1" customFormat="false" ht="14.25" hidden="false" customHeight="true" outlineLevel="0" collapsed="false">
      <c r="A1" s="2" t="s">
        <v>606</v>
      </c>
      <c r="B1" s="2" t="s">
        <v>607</v>
      </c>
      <c r="C1" s="2" t="s">
        <v>608</v>
      </c>
      <c r="D1" s="2" t="s">
        <v>609</v>
      </c>
    </row>
    <row r="2" customFormat="false" ht="28.5" hidden="false" customHeight="true" outlineLevel="0" collapsed="false">
      <c r="A2" s="30" t="s">
        <v>610</v>
      </c>
      <c r="B2" s="1" t="s">
        <v>20</v>
      </c>
      <c r="C2" s="1" t="s">
        <v>611</v>
      </c>
      <c r="D2" s="30" t="s">
        <v>612</v>
      </c>
    </row>
    <row r="3" customFormat="false" ht="28.5" hidden="false" customHeight="true" outlineLevel="0" collapsed="false">
      <c r="A3" s="30" t="s">
        <v>610</v>
      </c>
      <c r="B3" s="1" t="s">
        <v>27</v>
      </c>
      <c r="C3" s="1" t="s">
        <v>613</v>
      </c>
      <c r="D3" s="30" t="s">
        <v>614</v>
      </c>
    </row>
    <row r="4" customFormat="false" ht="28.5" hidden="false" customHeight="true" outlineLevel="0" collapsed="false">
      <c r="A4" s="30" t="s">
        <v>610</v>
      </c>
      <c r="B4" s="1" t="s">
        <v>26</v>
      </c>
      <c r="C4" s="1" t="s">
        <v>615</v>
      </c>
      <c r="D4" s="30" t="s">
        <v>616</v>
      </c>
    </row>
    <row r="5" customFormat="false" ht="28.5" hidden="false" customHeight="true" outlineLevel="0" collapsed="false">
      <c r="A5" s="30" t="s">
        <v>610</v>
      </c>
      <c r="B5" s="1" t="s">
        <v>31</v>
      </c>
      <c r="C5" s="1" t="s">
        <v>617</v>
      </c>
      <c r="D5" s="30" t="s">
        <v>618</v>
      </c>
    </row>
    <row r="6" customFormat="false" ht="28.5" hidden="false" customHeight="true" outlineLevel="0" collapsed="false">
      <c r="A6" s="30" t="s">
        <v>619</v>
      </c>
      <c r="B6" s="1" t="s">
        <v>22</v>
      </c>
      <c r="C6" s="1" t="s">
        <v>620</v>
      </c>
      <c r="D6" s="30" t="s">
        <v>621</v>
      </c>
    </row>
    <row r="7" customFormat="false" ht="28.5" hidden="false" customHeight="true" outlineLevel="0" collapsed="false">
      <c r="A7" s="30" t="s">
        <v>619</v>
      </c>
      <c r="B7" s="1" t="s">
        <v>46</v>
      </c>
      <c r="C7" s="1" t="s">
        <v>622</v>
      </c>
      <c r="D7" s="30" t="s">
        <v>623</v>
      </c>
    </row>
    <row r="8" customFormat="false" ht="28.5" hidden="false" customHeight="true" outlineLevel="0" collapsed="false">
      <c r="A8" s="30" t="s">
        <v>619</v>
      </c>
      <c r="B8" s="1" t="s">
        <v>239</v>
      </c>
      <c r="C8" s="1" t="s">
        <v>624</v>
      </c>
      <c r="D8" s="30" t="s">
        <v>625</v>
      </c>
    </row>
    <row r="9" customFormat="false" ht="28.5" hidden="false" customHeight="true" outlineLevel="0" collapsed="false">
      <c r="A9" s="30" t="s">
        <v>619</v>
      </c>
      <c r="B9" s="1" t="s">
        <v>569</v>
      </c>
      <c r="C9" s="1" t="s">
        <v>626</v>
      </c>
      <c r="D9" s="30" t="s">
        <v>627</v>
      </c>
    </row>
    <row r="10" customFormat="false" ht="28.5" hidden="false" customHeight="true" outlineLevel="0" collapsed="false">
      <c r="A10" s="30" t="s">
        <v>619</v>
      </c>
      <c r="B10" s="1" t="s">
        <v>166</v>
      </c>
      <c r="C10" s="1" t="s">
        <v>628</v>
      </c>
      <c r="D10" s="30" t="s">
        <v>629</v>
      </c>
    </row>
    <row r="11" customFormat="false" ht="28.5" hidden="false" customHeight="true" outlineLevel="0" collapsed="false">
      <c r="A11" s="30" t="s">
        <v>619</v>
      </c>
      <c r="B11" s="1" t="s">
        <v>68</v>
      </c>
      <c r="C11" s="1" t="s">
        <v>630</v>
      </c>
      <c r="D11" s="30" t="s">
        <v>631</v>
      </c>
    </row>
    <row r="12" customFormat="false" ht="28.5" hidden="false" customHeight="true" outlineLevel="0" collapsed="false">
      <c r="A12" s="30" t="s">
        <v>619</v>
      </c>
      <c r="B12" s="1" t="s">
        <v>568</v>
      </c>
      <c r="C12" s="1" t="s">
        <v>632</v>
      </c>
      <c r="D12" s="30" t="s">
        <v>633</v>
      </c>
    </row>
    <row r="13" customFormat="false" ht="28.5" hidden="false" customHeight="true" outlineLevel="0" collapsed="false">
      <c r="A13" s="30" t="s">
        <v>619</v>
      </c>
      <c r="B13" s="1" t="s">
        <v>311</v>
      </c>
      <c r="C13" s="1" t="s">
        <v>634</v>
      </c>
      <c r="D13" s="30" t="s">
        <v>635</v>
      </c>
    </row>
    <row r="14" customFormat="false" ht="28.5" hidden="false" customHeight="true" outlineLevel="0" collapsed="false">
      <c r="A14" s="30" t="s">
        <v>619</v>
      </c>
      <c r="B14" s="1" t="s">
        <v>33</v>
      </c>
      <c r="C14" s="1" t="s">
        <v>636</v>
      </c>
      <c r="D14" s="30" t="s">
        <v>637</v>
      </c>
    </row>
    <row r="16" customFormat="false" ht="15" hidden="false" customHeight="true" outlineLevel="0" collapsed="false">
      <c r="A16" s="22" t="s">
        <v>638</v>
      </c>
    </row>
    <row r="17" customFormat="false" ht="14.25" hidden="false" customHeight="true" outlineLevel="0" collapsed="false">
      <c r="A17" s="23" t="s">
        <v>639</v>
      </c>
      <c r="B17" s="23" t="s">
        <v>640</v>
      </c>
      <c r="C17" s="23" t="s">
        <v>639</v>
      </c>
      <c r="D17" s="23" t="s">
        <v>641</v>
      </c>
    </row>
    <row r="18" customFormat="false" ht="52.5" hidden="false" customHeight="true" outlineLevel="0" collapsed="false">
      <c r="A18" s="15" t="s">
        <v>642</v>
      </c>
      <c r="B18" s="15" t="s">
        <v>643</v>
      </c>
      <c r="C18" s="15" t="s">
        <v>644</v>
      </c>
      <c r="D18" s="15" t="s">
        <v>645</v>
      </c>
    </row>
    <row r="19" customFormat="false" ht="41.25" hidden="false" customHeight="true" outlineLevel="0" collapsed="false">
      <c r="A19" s="15" t="s">
        <v>646</v>
      </c>
      <c r="B19" s="15" t="s">
        <v>643</v>
      </c>
      <c r="C19" s="15" t="s">
        <v>647</v>
      </c>
      <c r="D19" s="15" t="s">
        <v>648</v>
      </c>
    </row>
    <row r="20" customFormat="false" ht="41.25" hidden="false" customHeight="true" outlineLevel="0" collapsed="false">
      <c r="A20" s="15" t="s">
        <v>649</v>
      </c>
      <c r="B20" s="15" t="s">
        <v>643</v>
      </c>
      <c r="C20" s="15" t="s">
        <v>650</v>
      </c>
      <c r="D20" s="15" t="s">
        <v>651</v>
      </c>
    </row>
    <row r="21" customFormat="false" ht="41.25" hidden="false" customHeight="true" outlineLevel="0" collapsed="false">
      <c r="A21" s="15" t="s">
        <v>652</v>
      </c>
      <c r="B21" s="15" t="s">
        <v>643</v>
      </c>
      <c r="C21" s="15" t="s">
        <v>653</v>
      </c>
      <c r="D21" s="15" t="s">
        <v>654</v>
      </c>
    </row>
    <row r="22" customFormat="false" ht="54.75" hidden="false" customHeight="true" outlineLevel="0" collapsed="false">
      <c r="A22" s="15" t="s">
        <v>655</v>
      </c>
      <c r="B22" s="15" t="s">
        <v>643</v>
      </c>
      <c r="C22" s="15" t="s">
        <v>656</v>
      </c>
      <c r="D22" s="15" t="s">
        <v>657</v>
      </c>
    </row>
    <row r="23" customFormat="false" ht="41.25" hidden="false" customHeight="true" outlineLevel="0" collapsed="false">
      <c r="A23" s="15" t="s">
        <v>658</v>
      </c>
      <c r="B23" s="15" t="s">
        <v>643</v>
      </c>
      <c r="C23" s="15" t="s">
        <v>659</v>
      </c>
      <c r="D23" s="15" t="s">
        <v>660</v>
      </c>
    </row>
    <row r="24" customFormat="false" ht="27.75" hidden="false" customHeight="true" outlineLevel="0" collapsed="false">
      <c r="A24" s="15" t="s">
        <v>661</v>
      </c>
      <c r="B24" s="15" t="s">
        <v>643</v>
      </c>
      <c r="C24" s="15" t="s">
        <v>662</v>
      </c>
      <c r="D24" s="15" t="s">
        <v>663</v>
      </c>
    </row>
    <row r="25" customFormat="false" ht="120" hidden="false" customHeight="true" outlineLevel="0" collapsed="false">
      <c r="A25" s="15" t="s">
        <v>664</v>
      </c>
      <c r="B25" s="15" t="s">
        <v>665</v>
      </c>
      <c r="C25" s="15" t="s">
        <v>666</v>
      </c>
      <c r="D25" s="15" t="s">
        <v>667</v>
      </c>
    </row>
    <row r="26" customFormat="false" ht="27.75" hidden="false" customHeight="true" outlineLevel="0" collapsed="false">
      <c r="A26" s="15" t="s">
        <v>668</v>
      </c>
      <c r="B26" s="15" t="s">
        <v>665</v>
      </c>
      <c r="C26" s="15" t="s">
        <v>669</v>
      </c>
      <c r="D26" s="15" t="s">
        <v>670</v>
      </c>
    </row>
    <row r="27" customFormat="false" ht="41.25" hidden="false" customHeight="true" outlineLevel="0" collapsed="false">
      <c r="A27" s="15" t="s">
        <v>671</v>
      </c>
      <c r="B27" s="15" t="s">
        <v>665</v>
      </c>
      <c r="C27" s="15" t="s">
        <v>672</v>
      </c>
      <c r="D27" s="15" t="s">
        <v>673</v>
      </c>
    </row>
    <row r="28" customFormat="false" ht="41.25" hidden="false" customHeight="true" outlineLevel="0" collapsed="false">
      <c r="A28" s="15" t="s">
        <v>674</v>
      </c>
      <c r="B28" s="15" t="s">
        <v>665</v>
      </c>
      <c r="C28" s="15" t="s">
        <v>675</v>
      </c>
      <c r="D28" s="15" t="s">
        <v>676</v>
      </c>
    </row>
    <row r="29" customFormat="false" ht="54.75" hidden="false" customHeight="true" outlineLevel="0" collapsed="false">
      <c r="A29" s="20" t="s">
        <v>677</v>
      </c>
      <c r="B29" s="20" t="s">
        <v>665</v>
      </c>
      <c r="C29" s="20" t="s">
        <v>678</v>
      </c>
      <c r="D29" s="20" t="s">
        <v>679</v>
      </c>
    </row>
    <row r="30" customFormat="false" ht="54.75" hidden="false" customHeight="true" outlineLevel="0" collapsed="false">
      <c r="A30" s="15" t="s">
        <v>680</v>
      </c>
      <c r="B30" s="15" t="s">
        <v>665</v>
      </c>
      <c r="C30" s="15" t="s">
        <v>681</v>
      </c>
      <c r="D30" s="15" t="s">
        <v>682</v>
      </c>
    </row>
    <row r="31" customFormat="false" ht="27.75" hidden="false" customHeight="true" outlineLevel="0" collapsed="false">
      <c r="A31" s="15" t="s">
        <v>683</v>
      </c>
      <c r="B31" s="15" t="s">
        <v>665</v>
      </c>
      <c r="C31" s="15" t="s">
        <v>684</v>
      </c>
      <c r="D31" s="15" t="s">
        <v>685</v>
      </c>
    </row>
    <row r="32" customFormat="false" ht="54.75" hidden="false" customHeight="true" outlineLevel="0" collapsed="false">
      <c r="A32" s="15" t="s">
        <v>686</v>
      </c>
      <c r="B32" s="15" t="s">
        <v>665</v>
      </c>
      <c r="C32" s="15" t="s">
        <v>687</v>
      </c>
      <c r="D32" s="15" t="s">
        <v>688</v>
      </c>
    </row>
    <row r="34" customFormat="false" ht="15" hidden="false" customHeight="true" outlineLevel="0" collapsed="false">
      <c r="A34" s="22" t="s">
        <v>689</v>
      </c>
    </row>
    <row r="35" customFormat="false" ht="14.25" hidden="false" customHeight="true" outlineLevel="0" collapsed="false">
      <c r="A35" s="23" t="s">
        <v>690</v>
      </c>
      <c r="B35" s="23" t="s">
        <v>691</v>
      </c>
      <c r="C35" s="23" t="s">
        <v>692</v>
      </c>
      <c r="D35" s="23" t="s">
        <v>693</v>
      </c>
    </row>
    <row r="36" customFormat="false" ht="189" hidden="false" customHeight="true" outlineLevel="0" collapsed="false">
      <c r="A36" s="15" t="s">
        <v>694</v>
      </c>
      <c r="B36" s="15" t="s">
        <v>695</v>
      </c>
      <c r="C36" s="15" t="s">
        <v>696</v>
      </c>
      <c r="D36" s="15" t="s">
        <v>697</v>
      </c>
    </row>
    <row r="37" customFormat="false" ht="162" hidden="false" customHeight="true" outlineLevel="0" collapsed="false">
      <c r="A37" s="15" t="s">
        <v>698</v>
      </c>
      <c r="B37" s="15" t="s">
        <v>699</v>
      </c>
      <c r="C37" s="15" t="s">
        <v>700</v>
      </c>
      <c r="D37" s="15" t="s">
        <v>701</v>
      </c>
    </row>
    <row r="38" customFormat="false" ht="135.75" hidden="false" customHeight="true" outlineLevel="0" collapsed="false">
      <c r="A38" s="15" t="s">
        <v>702</v>
      </c>
      <c r="B38" s="15" t="s">
        <v>703</v>
      </c>
      <c r="C38" s="15" t="s">
        <v>704</v>
      </c>
      <c r="D38" s="15" t="s">
        <v>705</v>
      </c>
    </row>
    <row r="39" customFormat="false" ht="95.25" hidden="false" customHeight="true" outlineLevel="0" collapsed="false">
      <c r="A39" s="15" t="s">
        <v>706</v>
      </c>
      <c r="B39" s="15" t="s">
        <v>707</v>
      </c>
      <c r="C39" s="15" t="s">
        <v>708</v>
      </c>
      <c r="D39" s="15" t="s">
        <v>709</v>
      </c>
    </row>
    <row r="40" customFormat="false" ht="149.25" hidden="false" customHeight="false" outlineLevel="0" collapsed="false">
      <c r="A40" s="31" t="s">
        <v>710</v>
      </c>
      <c r="B40" s="31" t="s">
        <v>665</v>
      </c>
      <c r="C40" s="31" t="s">
        <v>711</v>
      </c>
      <c r="D40" s="31" t="s">
        <v>712</v>
      </c>
    </row>
    <row r="42" customFormat="false" ht="135.8" hidden="false" customHeight="false" outlineLevel="0" collapsed="false">
      <c r="A42" s="15" t="s">
        <v>713</v>
      </c>
      <c r="B42" s="15" t="s">
        <v>714</v>
      </c>
      <c r="C42" s="15" t="s">
        <v>715</v>
      </c>
      <c r="D42" s="15" t="s">
        <v>716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6" min="2" style="1" width="15"/>
    <col collapsed="false" customWidth="true" hidden="false" outlineLevel="0" max="7" min="7" style="1" width="60"/>
  </cols>
  <sheetData>
    <row r="1" customFormat="false" ht="15" hidden="false" customHeight="true" outlineLevel="0" collapsed="false">
      <c r="A1" s="22" t="s">
        <v>717</v>
      </c>
    </row>
    <row r="2" customFormat="false" ht="30" hidden="false" customHeight="true" outlineLevel="0" collapsed="false">
      <c r="A2" s="12" t="s">
        <v>718</v>
      </c>
      <c r="B2" s="12"/>
      <c r="C2" s="12"/>
      <c r="D2" s="12"/>
      <c r="E2" s="12"/>
      <c r="F2" s="12"/>
      <c r="G2" s="12"/>
    </row>
    <row r="4" customFormat="false" ht="15" hidden="false" customHeight="true" outlineLevel="0" collapsed="false">
      <c r="A4" s="32" t="s">
        <v>719</v>
      </c>
    </row>
    <row r="5" customFormat="false" ht="15" hidden="false" customHeight="true" outlineLevel="0" collapsed="false">
      <c r="A5" s="24" t="s">
        <v>720</v>
      </c>
      <c r="B5" s="24" t="n">
        <f aca="false">SUMPRODUCT((coding!$D$2:$D$146&lt;&gt;"")*(coding!$E$2:$E$146&lt;&gt;""))</f>
        <v>5</v>
      </c>
    </row>
    <row r="6" customFormat="false" ht="15" hidden="false" customHeight="true" outlineLevel="0" collapsed="false">
      <c r="A6" s="24" t="s">
        <v>721</v>
      </c>
      <c r="B6" s="24" t="n">
        <f aca="false">SUMPRODUCT((coding!$D$2:$D$146&lt;&gt;"")*(coding!$E$2:$E$146&lt;&gt;"")*(coding!$D$2:$D$146=coding!$E$2:$E$146))</f>
        <v>2</v>
      </c>
    </row>
    <row r="7" customFormat="false" ht="15" hidden="false" customHeight="true" outlineLevel="0" collapsed="false">
      <c r="A7" s="24" t="s">
        <v>722</v>
      </c>
      <c r="B7" s="33" t="n">
        <f aca="false">IFERROR($B$6/$B$5,"")</f>
        <v>0.4</v>
      </c>
    </row>
    <row r="9" customFormat="false" ht="15" hidden="false" customHeight="true" outlineLevel="0" collapsed="false">
      <c r="A9" s="23" t="s">
        <v>723</v>
      </c>
      <c r="B9" s="23" t="s">
        <v>724</v>
      </c>
      <c r="C9" s="23" t="s">
        <v>725</v>
      </c>
      <c r="D9" s="23" t="s">
        <v>726</v>
      </c>
      <c r="E9" s="23" t="s">
        <v>727</v>
      </c>
    </row>
    <row r="10" customFormat="false" ht="15" hidden="false" customHeight="true" outlineLevel="0" collapsed="false">
      <c r="A10" s="24" t="s">
        <v>20</v>
      </c>
      <c r="B10" s="24" t="n">
        <f aca="false">COUNTIFS(coding!$D$2:$D$146,$A10,coding!$E$2:$E$146,"&lt;&gt;")</f>
        <v>2</v>
      </c>
      <c r="C10" s="24" t="n">
        <f aca="false">COUNTIFS(coding!$E$2:$E$146,$A10,coding!$D$2:$D$146,"&lt;&gt;")</f>
        <v>1</v>
      </c>
      <c r="D10" s="34" t="n">
        <f aca="false">IFERROR($B10/$B$5*$C10/$B$5,"")</f>
        <v>0.08</v>
      </c>
      <c r="E10" s="24" t="n">
        <f aca="false">$B10+$C10</f>
        <v>3</v>
      </c>
    </row>
    <row r="11" customFormat="false" ht="15" hidden="false" customHeight="true" outlineLevel="0" collapsed="false">
      <c r="A11" s="24" t="s">
        <v>27</v>
      </c>
      <c r="B11" s="24" t="n">
        <f aca="false">COUNTIFS(coding!$D$2:$D$146,$A11,coding!$E$2:$E$146,"&lt;&gt;")</f>
        <v>1</v>
      </c>
      <c r="C11" s="24" t="n">
        <f aca="false">COUNTIFS(coding!$E$2:$E$146,$A11,coding!$D$2:$D$146,"&lt;&gt;")</f>
        <v>2</v>
      </c>
      <c r="D11" s="34" t="n">
        <f aca="false">IFERROR($B11/$B$5*$C11/$B$5,"")</f>
        <v>0.08</v>
      </c>
      <c r="E11" s="24" t="n">
        <f aca="false">$B11+$C11</f>
        <v>3</v>
      </c>
    </row>
    <row r="12" customFormat="false" ht="15" hidden="false" customHeight="true" outlineLevel="0" collapsed="false">
      <c r="A12" s="24" t="s">
        <v>26</v>
      </c>
      <c r="B12" s="24" t="n">
        <f aca="false">COUNTIFS(coding!$D$2:$D$146,$A12,coding!$E$2:$E$146,"&lt;&gt;")</f>
        <v>1</v>
      </c>
      <c r="C12" s="24" t="n">
        <f aca="false">COUNTIFS(coding!$E$2:$E$146,$A12,coding!$D$2:$D$146,"&lt;&gt;")</f>
        <v>1</v>
      </c>
      <c r="D12" s="34" t="n">
        <f aca="false">IFERROR($B12/$B$5*$C12/$B$5,"")</f>
        <v>0.04</v>
      </c>
      <c r="E12" s="24" t="n">
        <f aca="false">$B12+$C12</f>
        <v>2</v>
      </c>
    </row>
    <row r="13" customFormat="false" ht="15" hidden="false" customHeight="true" outlineLevel="0" collapsed="false">
      <c r="A13" s="24" t="s">
        <v>31</v>
      </c>
      <c r="B13" s="24" t="n">
        <f aca="false">COUNTIFS(coding!$D$2:$D$146,$A13,coding!$E$2:$E$146,"&lt;&gt;")</f>
        <v>1</v>
      </c>
      <c r="C13" s="24" t="n">
        <f aca="false">COUNTIFS(coding!$E$2:$E$146,$A13,coding!$D$2:$D$146,"&lt;&gt;")</f>
        <v>1</v>
      </c>
      <c r="D13" s="34" t="n">
        <f aca="false">IFERROR($B13/$B$5*$C13/$B$5,"")</f>
        <v>0.04</v>
      </c>
      <c r="E13" s="24" t="n">
        <f aca="false">$B13+$C13</f>
        <v>2</v>
      </c>
    </row>
    <row r="14" customFormat="false" ht="15" hidden="false" customHeight="true" outlineLevel="0" collapsed="false">
      <c r="A14" s="24" t="s">
        <v>728</v>
      </c>
      <c r="B14" s="33" t="n">
        <f aca="false">SUM($D$10:$D$13)</f>
        <v>0.24</v>
      </c>
    </row>
    <row r="15" customFormat="false" ht="15" hidden="false" customHeight="true" outlineLevel="0" collapsed="false">
      <c r="A15" s="32" t="s">
        <v>729</v>
      </c>
      <c r="B15" s="28" t="n">
        <f aca="false">IFERROR(($B$7-$B$14)/(1-$B$14),"")</f>
        <v>0.210526315789474</v>
      </c>
      <c r="G15" s="29" t="s">
        <v>730</v>
      </c>
    </row>
    <row r="16" customFormat="false" ht="15" hidden="false" customHeight="true" outlineLevel="0" collapsed="false">
      <c r="A16" s="24" t="s">
        <v>731</v>
      </c>
      <c r="B16" s="27" t="n">
        <f aca="false">2*$B$5</f>
        <v>10</v>
      </c>
    </row>
    <row r="17" customFormat="false" ht="15" hidden="false" customHeight="true" outlineLevel="0" collapsed="false">
      <c r="A17" s="24" t="s">
        <v>732</v>
      </c>
      <c r="B17" s="27" t="n">
        <f aca="false">SUMPRODUCT($E$10:$E$13,$E$10:$E$13)</f>
        <v>26</v>
      </c>
    </row>
    <row r="18" customFormat="false" ht="15" hidden="false" customHeight="true" outlineLevel="0" collapsed="false">
      <c r="A18" s="24" t="s">
        <v>733</v>
      </c>
      <c r="B18" s="34" t="n">
        <f aca="false">IFERROR(($B$16^2-$B$17)/($B$16*($B$16-1)),"")</f>
        <v>0.822222222222222</v>
      </c>
    </row>
    <row r="19" customFormat="false" ht="15" hidden="false" customHeight="true" outlineLevel="0" collapsed="false">
      <c r="A19" s="32" t="s">
        <v>734</v>
      </c>
      <c r="B19" s="28" t="n">
        <f aca="false">IFERROR(1-(1-$B$7)/$B$18,"")</f>
        <v>0.27027027027027</v>
      </c>
      <c r="G19" s="29" t="s">
        <v>735</v>
      </c>
    </row>
    <row r="21" customFormat="false" ht="15" hidden="false" customHeight="true" outlineLevel="0" collapsed="false">
      <c r="A21" s="32" t="s">
        <v>736</v>
      </c>
    </row>
    <row r="22" customFormat="false" ht="15" hidden="false" customHeight="true" outlineLevel="0" collapsed="false">
      <c r="A22" s="24" t="s">
        <v>720</v>
      </c>
      <c r="B22" s="27" t="n">
        <f aca="false">SUMPRODUCT(themes_matrix!$B$2:$B$146,themes_matrix!$C$2:$C$146)</f>
        <v>0</v>
      </c>
    </row>
    <row r="23" customFormat="false" ht="15" hidden="false" customHeight="true" outlineLevel="0" collapsed="false">
      <c r="A23" s="24" t="s">
        <v>737</v>
      </c>
      <c r="B23" s="27" t="n">
        <f aca="false">SUM(themes_matrix!$AI$2:$AI$146)</f>
        <v>0</v>
      </c>
    </row>
    <row r="24" customFormat="false" ht="15" hidden="false" customHeight="true" outlineLevel="0" collapsed="false">
      <c r="A24" s="24" t="s">
        <v>738</v>
      </c>
      <c r="B24" s="33" t="str">
        <f aca="false">IFERROR($B$23/$B$22,"")</f>
        <v/>
      </c>
    </row>
    <row r="25" customFormat="false" ht="15" hidden="false" customHeight="true" outlineLevel="0" collapsed="false">
      <c r="A25" s="24" t="s">
        <v>739</v>
      </c>
      <c r="B25" s="33" t="str">
        <f aca="false">IFERROR(SUM(themes_matrix!$AH$2:$AH$146)/$B$22,"")</f>
        <v/>
      </c>
      <c r="G25" s="29" t="s">
        <v>740</v>
      </c>
    </row>
    <row r="27" customFormat="false" ht="15" hidden="false" customHeight="true" outlineLevel="0" collapsed="false">
      <c r="A27" s="23" t="s">
        <v>562</v>
      </c>
      <c r="B27" s="23" t="s">
        <v>724</v>
      </c>
      <c r="C27" s="23" t="s">
        <v>725</v>
      </c>
      <c r="D27" s="23" t="s">
        <v>741</v>
      </c>
      <c r="E27" s="23" t="s">
        <v>742</v>
      </c>
      <c r="F27" s="23" t="s">
        <v>743</v>
      </c>
    </row>
    <row r="28" customFormat="false" ht="15" hidden="false" customHeight="true" outlineLevel="0" collapsed="false">
      <c r="A28" s="24" t="s">
        <v>22</v>
      </c>
      <c r="B28" s="24" t="n">
        <f aca="false">SUMPRODUCT(themes_matrix!$B$2:$B$146,themes_matrix!$C$2:$C$146,themes_matrix!$E$2:$E$146)</f>
        <v>0</v>
      </c>
      <c r="C28" s="24" t="n">
        <f aca="false">SUMPRODUCT(themes_matrix!$B$2:$B$146,themes_matrix!$C$2:$C$146,themes_matrix!$N$2:$N$146)</f>
        <v>0</v>
      </c>
      <c r="D28" s="24" t="n">
        <f aca="false">SUMPRODUCT(themes_matrix!$B$2:$B$146,themes_matrix!$C$2:$C$146,--(themes_matrix!$E$2:$E$146=themes_matrix!$N$2:$N$146))</f>
        <v>0</v>
      </c>
      <c r="E28" s="33" t="str">
        <f aca="false">IFERROR($D28/$B$22,"")</f>
        <v/>
      </c>
      <c r="F28" s="33" t="str">
        <f aca="false">IFERROR(($E28-(($B28/$B$22)*($C28/$B$22)+(1-$B28/$B$22)*(1-$C28/$B$22)))/(1-(($B28/$B$22)*($C28/$B$22)+(1-$B28/$B$22)*(1-$C28/$B$22))),"")</f>
        <v/>
      </c>
    </row>
    <row r="29" customFormat="false" ht="15" hidden="false" customHeight="true" outlineLevel="0" collapsed="false">
      <c r="A29" s="24" t="s">
        <v>46</v>
      </c>
      <c r="B29" s="24" t="n">
        <f aca="false">SUMPRODUCT(themes_matrix!$B$2:$B$146,themes_matrix!$C$2:$C$146,themes_matrix!$F$2:$F$146)</f>
        <v>0</v>
      </c>
      <c r="C29" s="24" t="n">
        <f aca="false">SUMPRODUCT(themes_matrix!$B$2:$B$146,themes_matrix!$C$2:$C$146,themes_matrix!$O$2:$O$146)</f>
        <v>0</v>
      </c>
      <c r="D29" s="24" t="n">
        <f aca="false">SUMPRODUCT(themes_matrix!$B$2:$B$146,themes_matrix!$C$2:$C$146,--(themes_matrix!$F$2:$F$146=themes_matrix!$O$2:$O$146))</f>
        <v>0</v>
      </c>
      <c r="E29" s="33" t="str">
        <f aca="false">IFERROR($D29/$B$22,"")</f>
        <v/>
      </c>
      <c r="F29" s="33" t="str">
        <f aca="false">IFERROR(($E29-(($B29/$B$22)*($C29/$B$22)+(1-$B29/$B$22)*(1-$C29/$B$22)))/(1-(($B29/$B$22)*($C29/$B$22)+(1-$B29/$B$22)*(1-$C29/$B$22))),"")</f>
        <v/>
      </c>
    </row>
    <row r="30" customFormat="false" ht="15" hidden="false" customHeight="true" outlineLevel="0" collapsed="false">
      <c r="A30" s="24" t="s">
        <v>239</v>
      </c>
      <c r="B30" s="24" t="n">
        <f aca="false">SUMPRODUCT(themes_matrix!$B$2:$B$146,themes_matrix!$C$2:$C$146,themes_matrix!$G$2:$G$146)</f>
        <v>0</v>
      </c>
      <c r="C30" s="24" t="n">
        <f aca="false">SUMPRODUCT(themes_matrix!$B$2:$B$146,themes_matrix!$C$2:$C$146,themes_matrix!$P$2:$P$146)</f>
        <v>0</v>
      </c>
      <c r="D30" s="24" t="n">
        <f aca="false">SUMPRODUCT(themes_matrix!$B$2:$B$146,themes_matrix!$C$2:$C$146,--(themes_matrix!$G$2:$G$146=themes_matrix!$P$2:$P$146))</f>
        <v>0</v>
      </c>
      <c r="E30" s="33" t="str">
        <f aca="false">IFERROR($D30/$B$22,"")</f>
        <v/>
      </c>
      <c r="F30" s="33" t="str">
        <f aca="false">IFERROR(($E30-(($B30/$B$22)*($C30/$B$22)+(1-$B30/$B$22)*(1-$C30/$B$22)))/(1-(($B30/$B$22)*($C30/$B$22)+(1-$B30/$B$22)*(1-$C30/$B$22))),"")</f>
        <v/>
      </c>
    </row>
    <row r="31" customFormat="false" ht="15" hidden="false" customHeight="true" outlineLevel="0" collapsed="false">
      <c r="A31" s="24" t="s">
        <v>569</v>
      </c>
      <c r="B31" s="24" t="n">
        <f aca="false">SUMPRODUCT(themes_matrix!$B$2:$B$146,themes_matrix!$C$2:$C$146,themes_matrix!$H$2:$H$146)</f>
        <v>0</v>
      </c>
      <c r="C31" s="24" t="n">
        <f aca="false">SUMPRODUCT(themes_matrix!$B$2:$B$146,themes_matrix!$C$2:$C$146,themes_matrix!$Q$2:$Q$146)</f>
        <v>0</v>
      </c>
      <c r="D31" s="24" t="n">
        <f aca="false">SUMPRODUCT(themes_matrix!$B$2:$B$146,themes_matrix!$C$2:$C$146,--(themes_matrix!$H$2:$H$146=themes_matrix!$Q$2:$Q$146))</f>
        <v>0</v>
      </c>
      <c r="E31" s="33" t="str">
        <f aca="false">IFERROR($D31/$B$22,"")</f>
        <v/>
      </c>
      <c r="F31" s="33" t="str">
        <f aca="false">IFERROR(($E31-(($B31/$B$22)*($C31/$B$22)+(1-$B31/$B$22)*(1-$C31/$B$22)))/(1-(($B31/$B$22)*($C31/$B$22)+(1-$B31/$B$22)*(1-$C31/$B$22))),"")</f>
        <v/>
      </c>
    </row>
    <row r="32" customFormat="false" ht="15" hidden="false" customHeight="true" outlineLevel="0" collapsed="false">
      <c r="A32" s="24" t="s">
        <v>166</v>
      </c>
      <c r="B32" s="24" t="n">
        <f aca="false">SUMPRODUCT(themes_matrix!$B$2:$B$146,themes_matrix!$C$2:$C$146,themes_matrix!$I$2:$I$146)</f>
        <v>0</v>
      </c>
      <c r="C32" s="24" t="n">
        <f aca="false">SUMPRODUCT(themes_matrix!$B$2:$B$146,themes_matrix!$C$2:$C$146,themes_matrix!$R$2:$R$146)</f>
        <v>0</v>
      </c>
      <c r="D32" s="24" t="n">
        <f aca="false">SUMPRODUCT(themes_matrix!$B$2:$B$146,themes_matrix!$C$2:$C$146,--(themes_matrix!$I$2:$I$146=themes_matrix!$R$2:$R$146))</f>
        <v>0</v>
      </c>
      <c r="E32" s="33" t="str">
        <f aca="false">IFERROR($D32/$B$22,"")</f>
        <v/>
      </c>
      <c r="F32" s="33" t="str">
        <f aca="false">IFERROR(($E32-(($B32/$B$22)*($C32/$B$22)+(1-$B32/$B$22)*(1-$C32/$B$22)))/(1-(($B32/$B$22)*($C32/$B$22)+(1-$B32/$B$22)*(1-$C32/$B$22))),"")</f>
        <v/>
      </c>
    </row>
    <row r="33" customFormat="false" ht="15" hidden="false" customHeight="true" outlineLevel="0" collapsed="false">
      <c r="A33" s="24" t="s">
        <v>68</v>
      </c>
      <c r="B33" s="24" t="n">
        <f aca="false">SUMPRODUCT(themes_matrix!$B$2:$B$146,themes_matrix!$C$2:$C$146,themes_matrix!$J$2:$J$146)</f>
        <v>0</v>
      </c>
      <c r="C33" s="24" t="n">
        <f aca="false">SUMPRODUCT(themes_matrix!$B$2:$B$146,themes_matrix!$C$2:$C$146,themes_matrix!$S$2:$S$146)</f>
        <v>0</v>
      </c>
      <c r="D33" s="24" t="n">
        <f aca="false">SUMPRODUCT(themes_matrix!$B$2:$B$146,themes_matrix!$C$2:$C$146,--(themes_matrix!$J$2:$J$146=themes_matrix!$S$2:$S$146))</f>
        <v>0</v>
      </c>
      <c r="E33" s="33" t="str">
        <f aca="false">IFERROR($D33/$B$22,"")</f>
        <v/>
      </c>
      <c r="F33" s="33" t="str">
        <f aca="false">IFERROR(($E33-(($B33/$B$22)*($C33/$B$22)+(1-$B33/$B$22)*(1-$C33/$B$22)))/(1-(($B33/$B$22)*($C33/$B$22)+(1-$B33/$B$22)*(1-$C33/$B$22))),"")</f>
        <v/>
      </c>
    </row>
    <row r="34" customFormat="false" ht="15" hidden="false" customHeight="true" outlineLevel="0" collapsed="false">
      <c r="A34" s="24" t="s">
        <v>568</v>
      </c>
      <c r="B34" s="24" t="n">
        <f aca="false">SUMPRODUCT(themes_matrix!$B$2:$B$146,themes_matrix!$C$2:$C$146,themes_matrix!$K$2:$K$146)</f>
        <v>0</v>
      </c>
      <c r="C34" s="24" t="n">
        <f aca="false">SUMPRODUCT(themes_matrix!$B$2:$B$146,themes_matrix!$C$2:$C$146,themes_matrix!$T$2:$T$146)</f>
        <v>0</v>
      </c>
      <c r="D34" s="24" t="n">
        <f aca="false">SUMPRODUCT(themes_matrix!$B$2:$B$146,themes_matrix!$C$2:$C$146,--(themes_matrix!$K$2:$K$146=themes_matrix!$T$2:$T$146))</f>
        <v>0</v>
      </c>
      <c r="E34" s="33" t="str">
        <f aca="false">IFERROR($D34/$B$22,"")</f>
        <v/>
      </c>
      <c r="F34" s="33" t="str">
        <f aca="false">IFERROR(($E34-(($B34/$B$22)*($C34/$B$22)+(1-$B34/$B$22)*(1-$C34/$B$22)))/(1-(($B34/$B$22)*($C34/$B$22)+(1-$B34/$B$22)*(1-$C34/$B$22))),"")</f>
        <v/>
      </c>
    </row>
    <row r="35" customFormat="false" ht="15" hidden="false" customHeight="true" outlineLevel="0" collapsed="false">
      <c r="A35" s="24" t="s">
        <v>311</v>
      </c>
      <c r="B35" s="24" t="n">
        <f aca="false">SUMPRODUCT(themes_matrix!$B$2:$B$146,themes_matrix!$C$2:$C$146,themes_matrix!$L$2:$L$146)</f>
        <v>0</v>
      </c>
      <c r="C35" s="24" t="n">
        <f aca="false">SUMPRODUCT(themes_matrix!$B$2:$B$146,themes_matrix!$C$2:$C$146,themes_matrix!$U$2:$U$146)</f>
        <v>0</v>
      </c>
      <c r="D35" s="24" t="n">
        <f aca="false">SUMPRODUCT(themes_matrix!$B$2:$B$146,themes_matrix!$C$2:$C$146,--(themes_matrix!$L$2:$L$146=themes_matrix!$U$2:$U$146))</f>
        <v>0</v>
      </c>
      <c r="E35" s="33" t="str">
        <f aca="false">IFERROR($D35/$B$22,"")</f>
        <v/>
      </c>
      <c r="F35" s="33" t="str">
        <f aca="false">IFERROR(($E35-(($B35/$B$22)*($C35/$B$22)+(1-$B35/$B$22)*(1-$C35/$B$22)))/(1-(($B35/$B$22)*($C35/$B$22)+(1-$B35/$B$22)*(1-$C35/$B$22))),"")</f>
        <v/>
      </c>
    </row>
    <row r="36" customFormat="false" ht="15" hidden="false" customHeight="true" outlineLevel="0" collapsed="false">
      <c r="A36" s="24" t="s">
        <v>33</v>
      </c>
      <c r="B36" s="24" t="n">
        <f aca="false">SUMPRODUCT(themes_matrix!$B$2:$B$146,themes_matrix!$C$2:$C$146,themes_matrix!$M$2:$M$146)</f>
        <v>0</v>
      </c>
      <c r="C36" s="24" t="n">
        <f aca="false">SUMPRODUCT(themes_matrix!$B$2:$B$146,themes_matrix!$C$2:$C$146,themes_matrix!$V$2:$V$146)</f>
        <v>0</v>
      </c>
      <c r="D36" s="24" t="n">
        <f aca="false">SUMPRODUCT(themes_matrix!$B$2:$B$146,themes_matrix!$C$2:$C$146,--(themes_matrix!$M$2:$M$146=themes_matrix!$V$2:$V$146))</f>
        <v>0</v>
      </c>
      <c r="E36" s="33" t="str">
        <f aca="false">IFERROR($D36/$B$22,"")</f>
        <v/>
      </c>
      <c r="F36" s="33" t="str">
        <f aca="false">IFERROR(($E36-(($B36/$B$22)*($C36/$B$22)+(1-$B36/$B$22)*(1-$C36/$B$22)))/(1-(($B36/$B$22)*($C36/$B$22)+(1-$B36/$B$22)*(1-$C36/$B$22))),"")</f>
        <v/>
      </c>
    </row>
    <row r="39" customFormat="false" ht="15" hidden="false" customHeight="true" outlineLevel="0" collapsed="false">
      <c r="A39" s="32" t="s">
        <v>744</v>
      </c>
    </row>
    <row r="40" customFormat="false" ht="30" hidden="false" customHeight="true" outlineLevel="0" collapsed="false">
      <c r="A40" s="12" t="s">
        <v>745</v>
      </c>
      <c r="B40" s="12"/>
      <c r="C40" s="12"/>
      <c r="D40" s="12"/>
      <c r="E40" s="12"/>
      <c r="F40" s="12"/>
      <c r="G40" s="12"/>
    </row>
    <row r="41" customFormat="false" ht="15" hidden="false" customHeight="true" outlineLevel="0" collapsed="false">
      <c r="A41" s="24" t="s">
        <v>746</v>
      </c>
      <c r="B41" s="33" t="n">
        <f aca="false">IFERROR(SUMPRODUCT((coding!$D$2:$D$146&lt;&gt;"")*(coding!$D$2:$D$146=coding!$M$2:$M$146))/SUMPRODUCT(--(coding!$D$2:$D$146&lt;&gt;"")),"")</f>
        <v>0.166666666666667</v>
      </c>
    </row>
    <row r="42" customFormat="false" ht="15" hidden="false" customHeight="true" outlineLevel="0" collapsed="false">
      <c r="A42" s="24" t="s">
        <v>747</v>
      </c>
      <c r="B42" s="33" t="n">
        <f aca="false">IFERROR(SUMPRODUCT((coding!$E$2:$E$146&lt;&gt;"")*(coding!$E$2:$E$146=coding!$M$2:$M$146))/SUMPRODUCT(--(coding!$E$2:$E$146&lt;&gt;"")),"")</f>
        <v>0.2</v>
      </c>
    </row>
    <row r="43" customFormat="false" ht="15" hidden="false" customHeight="true" outlineLevel="0" collapsed="false">
      <c r="A43" s="24" t="s">
        <v>748</v>
      </c>
      <c r="B43" s="33" t="n">
        <f aca="false">IFERROR(SUMPRODUCT((coding!$F$2:$F$146&lt;&gt;"")*(coding!$F$2:$F$146=coding!$M$2:$M$146))/SUMPRODUCT(--(coding!$F$2:$F$146&lt;&gt;"")),"")</f>
        <v>0</v>
      </c>
    </row>
    <row r="44" customFormat="false" ht="15" hidden="false" customHeight="true" outlineLevel="0" collapsed="false">
      <c r="A44" s="24" t="s">
        <v>749</v>
      </c>
      <c r="B44" s="33" t="n">
        <f aca="false">SUMPRODUCT(--(coding!$N$2:$N$146="match"))/145</f>
        <v>0.96551724137931</v>
      </c>
    </row>
    <row r="45" customFormat="false" ht="15" hidden="false" customHeight="true" outlineLevel="0" collapsed="false">
      <c r="A45" s="24" t="s">
        <v>750</v>
      </c>
      <c r="B45" s="33" t="str">
        <f aca="false">IFERROR(SUM(themes_matrix!$AJ$2:$AJ$146)/SUMPRODUCT(themes_matrix!$B$2:$B$146),"")</f>
        <v/>
      </c>
    </row>
    <row r="46" customFormat="false" ht="15" hidden="false" customHeight="true" outlineLevel="0" collapsed="false">
      <c r="A46" s="24" t="s">
        <v>751</v>
      </c>
      <c r="B46" s="33" t="str">
        <f aca="false">IFERROR(SUM(themes_matrix!$AK$2:$AK$146)/SUMPRODUCT(themes_matrix!$C$2:$C$146),"")</f>
        <v/>
      </c>
    </row>
    <row r="47" customFormat="false" ht="15" hidden="false" customHeight="true" outlineLevel="0" collapsed="false">
      <c r="A47" s="24" t="s">
        <v>752</v>
      </c>
      <c r="B47" s="33" t="n">
        <f aca="false">SUMPRODUCT(--(coding!$P$2:$P$146="match"))/145</f>
        <v>0.793103448275862</v>
      </c>
    </row>
  </sheetData>
  <mergeCells count="2">
    <mergeCell ref="A2:G2"/>
    <mergeCell ref="A40:G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5"/>
    <col collapsed="false" customWidth="true" hidden="false" outlineLevel="0" max="2" min="2" style="1" width="60"/>
    <col collapsed="false" customWidth="true" hidden="false" outlineLevel="0" max="5" min="3" style="1" width="13"/>
    <col collapsed="false" customWidth="true" hidden="false" outlineLevel="0" max="6" min="6" style="1" width="15"/>
    <col collapsed="false" customWidth="true" hidden="false" outlineLevel="0" max="7" min="7" style="1" width="17"/>
    <col collapsed="false" customWidth="true" hidden="false" outlineLevel="0" max="9" min="8" style="1" width="14"/>
    <col collapsed="false" customWidth="true" hidden="false" outlineLevel="0" max="10" min="10" style="1" width="16"/>
    <col collapsed="false" customWidth="true" hidden="false" outlineLevel="0" max="11" min="11" style="1" width="15"/>
    <col collapsed="false" customWidth="true" hidden="false" outlineLevel="0" max="12" min="12" style="1" width="18"/>
  </cols>
  <sheetData>
    <row r="1" customFormat="false" ht="15" hidden="false" customHeight="true" outlineLevel="0" collapsed="false">
      <c r="A1" s="22" t="s">
        <v>753</v>
      </c>
    </row>
    <row r="2" customFormat="false" ht="15" hidden="false" customHeight="true" outlineLevel="0" collapsed="false">
      <c r="A2" s="29" t="s">
        <v>754</v>
      </c>
    </row>
    <row r="4" customFormat="false" ht="15" hidden="false" customHeight="true" outlineLevel="0" collapsed="false">
      <c r="A4" s="23" t="s">
        <v>0</v>
      </c>
      <c r="B4" s="23" t="s">
        <v>1</v>
      </c>
      <c r="C4" s="23" t="s">
        <v>755</v>
      </c>
      <c r="D4" s="23" t="s">
        <v>756</v>
      </c>
      <c r="E4" s="23" t="s">
        <v>757</v>
      </c>
      <c r="F4" s="23" t="s">
        <v>758</v>
      </c>
      <c r="G4" s="23" t="s">
        <v>759</v>
      </c>
      <c r="H4" s="23" t="s">
        <v>760</v>
      </c>
      <c r="I4" s="23" t="s">
        <v>761</v>
      </c>
      <c r="J4" s="23" t="s">
        <v>762</v>
      </c>
      <c r="K4" s="23" t="s">
        <v>763</v>
      </c>
      <c r="L4" s="23" t="s">
        <v>764</v>
      </c>
    </row>
    <row r="5" customFormat="false" ht="15" hidden="false" customHeight="true" outlineLevel="0" collapsed="false">
      <c r="A5" s="24" t="str">
        <f aca="false">coding!$A2</f>
        <v>P001</v>
      </c>
      <c r="B5" s="15" t="str">
        <f aca="false">coding!$B2</f>
        <v>الاعتمادية</v>
      </c>
      <c r="C5" s="24" t="str">
        <f aca="false">IF(coding!$D2="","",coding!$D2)</f>
        <v>dependency</v>
      </c>
      <c r="D5" s="24" t="str">
        <f aca="false">IF(coding!$E2="","",coding!$E2)</f>
        <v>dependency</v>
      </c>
      <c r="E5" s="24" t="str">
        <f aca="false">IF(coding!$M2="","",coding!$M2)</f>
        <v>dependency</v>
      </c>
      <c r="F5" s="24" t="str">
        <f aca="false">IF(OR(coding!$D2="",coding!$E2=""),"not yet coded",IF(coding!$D2=coding!$E2,"agree","DISAGREE"))</f>
        <v>agree</v>
      </c>
      <c r="G5" s="26"/>
      <c r="H5" s="24" t="str">
        <f aca="false">IF(coding!$I2="","",coding!$I2)</f>
        <v/>
      </c>
      <c r="I5" s="24" t="str">
        <f aca="false">IF(coding!$J2="","",coding!$J2)</f>
        <v/>
      </c>
      <c r="J5" s="24" t="str">
        <f aca="false">IF(coding!$O2="","",coding!$O2)</f>
        <v>T1</v>
      </c>
      <c r="K5" s="24" t="str">
        <f aca="false">IF(OR(coding!$I2="",coding!$J2=""),"not yet coded",IF(coding!$I2=coding!$J2,"agree","DISAGREE"))</f>
        <v>not yet coded</v>
      </c>
      <c r="L5" s="26"/>
    </row>
    <row r="6" customFormat="false" ht="15" hidden="false" customHeight="true" outlineLevel="0" collapsed="false">
      <c r="A6" s="24" t="str">
        <f aca="false">coding!$A3</f>
        <v>P002</v>
      </c>
      <c r="B6" s="15" t="str">
        <f aca="false">coding!$B3</f>
        <v>يؤدي إلى الاعتمادية</v>
      </c>
      <c r="C6" s="24" t="str">
        <f aca="false">IF(coding!$D3="","",coding!$D3)</f>
        <v>conditional</v>
      </c>
      <c r="D6" s="24" t="str">
        <f aca="false">IF(coding!$E3="","",coding!$E3)</f>
        <v>innovation</v>
      </c>
      <c r="E6" s="24" t="str">
        <f aca="false">IF(coding!$M3="","",coding!$M3)</f>
        <v>dependency</v>
      </c>
      <c r="F6" s="24" t="str">
        <f aca="false">IF(OR(coding!$D3="",coding!$E3=""),"not yet coded",IF(coding!$D3=coding!$E3,"agree","DISAGREE"))</f>
        <v>DISAGREE</v>
      </c>
      <c r="G6" s="26"/>
      <c r="H6" s="24" t="str">
        <f aca="false">IF(coding!$I3="","",coding!$I3)</f>
        <v/>
      </c>
      <c r="I6" s="24" t="str">
        <f aca="false">IF(coding!$J3="","",coding!$J3)</f>
        <v/>
      </c>
      <c r="J6" s="24" t="str">
        <f aca="false">IF(coding!$O3="","",coding!$O3)</f>
        <v>T1,T4</v>
      </c>
      <c r="K6" s="24" t="str">
        <f aca="false">IF(OR(coding!$I3="",coding!$J3=""),"not yet coded",IF(coding!$I3=coding!$J3,"agree","DISAGREE"))</f>
        <v>not yet coded</v>
      </c>
      <c r="L6" s="26"/>
    </row>
    <row r="7" customFormat="false" ht="15" hidden="false" customHeight="true" outlineLevel="0" collapsed="false">
      <c r="A7" s="24" t="str">
        <f aca="false">coding!$A4</f>
        <v>P003</v>
      </c>
      <c r="B7" s="15" t="str">
        <f aca="false">coding!$B4</f>
        <v>يؤدي إلى الاعتمادية</v>
      </c>
      <c r="C7" s="24" t="str">
        <f aca="false">IF(coding!$D4="","",coding!$D4)</f>
        <v>uncodable</v>
      </c>
      <c r="D7" s="24" t="str">
        <f aca="false">IF(coding!$E4="","",coding!$E4)</f>
        <v>uncodable</v>
      </c>
      <c r="E7" s="24" t="str">
        <f aca="false">IF(coding!$M4="","",coding!$M4)</f>
        <v>dependency</v>
      </c>
      <c r="F7" s="24" t="str">
        <f aca="false">IF(OR(coding!$D4="",coding!$E4=""),"not yet coded",IF(coding!$D4=coding!$E4,"agree","DISAGREE"))</f>
        <v>agree</v>
      </c>
      <c r="G7" s="26"/>
      <c r="H7" s="24" t="str">
        <f aca="false">IF(coding!$I4="","",coding!$I4)</f>
        <v/>
      </c>
      <c r="I7" s="24" t="str">
        <f aca="false">IF(coding!$J4="","",coding!$J4)</f>
        <v/>
      </c>
      <c r="J7" s="24" t="str">
        <f aca="false">IF(coding!$O4="","",coding!$O4)</f>
        <v>T9</v>
      </c>
      <c r="K7" s="24" t="str">
        <f aca="false">IF(OR(coding!$I4="",coding!$J4=""),"not yet coded",IF(coding!$I4=coding!$J4,"agree","DISAGREE"))</f>
        <v>not yet coded</v>
      </c>
      <c r="L7" s="26"/>
    </row>
    <row r="8" customFormat="false" ht="15" hidden="false" customHeight="true" outlineLevel="0" collapsed="false">
      <c r="A8" s="24" t="str">
        <f aca="false">coding!$A5</f>
        <v>P004</v>
      </c>
      <c r="B8" s="15" t="str">
        <f aca="false">coding!$B5</f>
        <v>إذا زاد استخدامه عن حده فيؤدي للاعتمادية</v>
      </c>
      <c r="C8" s="24" t="str">
        <f aca="false">IF(coding!$D5="","",coding!$D5)</f>
        <v>dependency</v>
      </c>
      <c r="D8" s="24" t="str">
        <f aca="false">IF(coding!$E5="","",coding!$E5)</f>
        <v>innovation</v>
      </c>
      <c r="E8" s="24" t="str">
        <f aca="false">IF(coding!$M5="","",coding!$M5)</f>
        <v>conditional</v>
      </c>
      <c r="F8" s="24" t="str">
        <f aca="false">IF(OR(coding!$D5="",coding!$E5=""),"not yet coded",IF(coding!$D5=coding!$E5,"agree","DISAGREE"))</f>
        <v>DISAGREE</v>
      </c>
      <c r="G8" s="26"/>
      <c r="H8" s="24" t="str">
        <f aca="false">IF(coding!$I5="","",coding!$I5)</f>
        <v/>
      </c>
      <c r="I8" s="24" t="str">
        <f aca="false">IF(coding!$J5="","",coding!$J5)</f>
        <v/>
      </c>
      <c r="J8" s="24" t="str">
        <f aca="false">IF(coding!$O5="","",coding!$O5)</f>
        <v>T1,T4</v>
      </c>
      <c r="K8" s="24" t="str">
        <f aca="false">IF(OR(coding!$I5="",coding!$J5=""),"not yet coded",IF(coding!$I5=coding!$J5,"agree","DISAGREE"))</f>
        <v>not yet coded</v>
      </c>
      <c r="L8" s="26"/>
    </row>
    <row r="9" customFormat="false" ht="15" hidden="false" customHeight="true" outlineLevel="0" collapsed="false">
      <c r="A9" s="24" t="str">
        <f aca="false">coding!$A6</f>
        <v>P005</v>
      </c>
      <c r="B9" s="15" t="str">
        <f aca="false">coding!$B6</f>
        <v>يهدم الابتكار والفردية</v>
      </c>
      <c r="C9" s="24" t="str">
        <f aca="false">IF(coding!$D6="","",coding!$D6)</f>
        <v>innovation</v>
      </c>
      <c r="D9" s="24" t="str">
        <f aca="false">IF(coding!$E6="","",coding!$E6)</f>
        <v>conditional</v>
      </c>
      <c r="E9" s="24" t="str">
        <f aca="false">IF(coding!$M6="","",coding!$M6)</f>
        <v>dependency</v>
      </c>
      <c r="F9" s="24" t="str">
        <f aca="false">IF(OR(coding!$D6="",coding!$E6=""),"not yet coded",IF(coding!$D6=coding!$E6,"agree","DISAGREE"))</f>
        <v>DISAGREE</v>
      </c>
      <c r="G9" s="26"/>
      <c r="H9" s="24" t="str">
        <f aca="false">IF(coding!$I6="","",coding!$I6)</f>
        <v/>
      </c>
      <c r="I9" s="24" t="str">
        <f aca="false">IF(coding!$J6="","",coding!$J6)</f>
        <v/>
      </c>
      <c r="J9" s="24" t="str">
        <f aca="false">IF(coding!$O6="","",coding!$O6)</f>
        <v>T1,T2</v>
      </c>
      <c r="K9" s="24" t="str">
        <f aca="false">IF(OR(coding!$I6="",coding!$J6=""),"not yet coded",IF(coding!$I6=coding!$J6,"agree","DISAGREE"))</f>
        <v>not yet coded</v>
      </c>
      <c r="L9" s="26"/>
    </row>
    <row r="10" customFormat="false" ht="15" hidden="false" customHeight="true" outlineLevel="0" collapsed="false">
      <c r="A10" s="24" t="str">
        <f aca="false">coding!$A7</f>
        <v>P006</v>
      </c>
      <c r="B10" s="15" t="str">
        <f aca="false">coding!$B7</f>
        <v>يعزز الابتكار الفردي</v>
      </c>
      <c r="C10" s="24" t="str">
        <f aca="false">IF(coding!$D7="","",coding!$D7)</f>
        <v>conditional</v>
      </c>
      <c r="D10" s="24" t="str">
        <f aca="false">IF(coding!$E7="","",coding!$E7)</f>
        <v/>
      </c>
      <c r="E10" s="24" t="str">
        <f aca="false">IF(coding!$M7="","",coding!$M7)</f>
        <v>innovation</v>
      </c>
      <c r="F10" s="24" t="str">
        <f aca="false">IF(OR(coding!$D7="",coding!$E7=""),"not yet coded",IF(coding!$D7=coding!$E7,"agree","DISAGREE"))</f>
        <v>not yet coded</v>
      </c>
      <c r="G10" s="26"/>
      <c r="H10" s="24" t="str">
        <f aca="false">IF(coding!$I7="","",coding!$I7)</f>
        <v/>
      </c>
      <c r="I10" s="24" t="str">
        <f aca="false">IF(coding!$J7="","",coding!$J7)</f>
        <v/>
      </c>
      <c r="J10" s="24" t="str">
        <f aca="false">IF(coding!$O7="","",coding!$O7)</f>
        <v>T2</v>
      </c>
      <c r="K10" s="24" t="str">
        <f aca="false">IF(OR(coding!$I7="",coding!$J7=""),"not yet coded",IF(coding!$I7=coding!$J7,"agree","DISAGREE"))</f>
        <v>not yet coded</v>
      </c>
      <c r="L10" s="26"/>
    </row>
    <row r="11" customFormat="false" ht="15" hidden="false" customHeight="true" outlineLevel="0" collapsed="false">
      <c r="A11" s="24" t="str">
        <f aca="false">coding!$A8</f>
        <v>P007</v>
      </c>
      <c r="B11" s="15" t="str">
        <f aca="false">coding!$B8</f>
        <v>في بعض الأحيان</v>
      </c>
      <c r="C11" s="24" t="str">
        <f aca="false">IF(coding!$D8="","",coding!$D8)</f>
        <v/>
      </c>
      <c r="D11" s="24" t="str">
        <f aca="false">IF(coding!$E8="","",coding!$E8)</f>
        <v/>
      </c>
      <c r="E11" s="24" t="str">
        <f aca="false">IF(coding!$M8="","",coding!$M8)</f>
        <v>uncodable</v>
      </c>
      <c r="F11" s="24" t="str">
        <f aca="false">IF(OR(coding!$D8="",coding!$E8=""),"not yet coded",IF(coding!$D8=coding!$E8,"agree","DISAGREE"))</f>
        <v>not yet coded</v>
      </c>
      <c r="G11" s="26"/>
      <c r="H11" s="24" t="str">
        <f aca="false">IF(coding!$I8="","",coding!$I8)</f>
        <v/>
      </c>
      <c r="I11" s="24" t="str">
        <f aca="false">IF(coding!$J8="","",coding!$J8)</f>
        <v/>
      </c>
      <c r="J11" s="24" t="str">
        <f aca="false">IF(coding!$O8="","",coding!$O8)</f>
        <v>T1,T3</v>
      </c>
      <c r="K11" s="24" t="str">
        <f aca="false">IF(OR(coding!$I8="",coding!$J8=""),"not yet coded",IF(coding!$I8=coding!$J8,"agree","DISAGREE"))</f>
        <v>not yet coded</v>
      </c>
      <c r="L11" s="26"/>
    </row>
    <row r="12" customFormat="false" ht="15" hidden="false" customHeight="true" outlineLevel="0" collapsed="false">
      <c r="A12" s="24" t="str">
        <f aca="false">coding!$A9</f>
        <v>P008</v>
      </c>
      <c r="B12" s="15" t="str">
        <f aca="false">coding!$B9</f>
        <v>!</v>
      </c>
      <c r="C12" s="24" t="str">
        <f aca="false">IF(coding!$D9="","",coding!$D9)</f>
        <v/>
      </c>
      <c r="D12" s="24" t="str">
        <f aca="false">IF(coding!$E9="","",coding!$E9)</f>
        <v/>
      </c>
      <c r="E12" s="24" t="str">
        <f aca="false">IF(coding!$M9="","",coding!$M9)</f>
        <v>uncodable</v>
      </c>
      <c r="F12" s="24" t="str">
        <f aca="false">IF(OR(coding!$D9="",coding!$E9=""),"not yet coded",IF(coding!$D9=coding!$E9,"agree","DISAGREE"))</f>
        <v>not yet coded</v>
      </c>
      <c r="G12" s="26"/>
      <c r="H12" s="24" t="str">
        <f aca="false">IF(coding!$I9="","",coding!$I9)</f>
        <v/>
      </c>
      <c r="I12" s="24" t="str">
        <f aca="false">IF(coding!$J9="","",coding!$J9)</f>
        <v/>
      </c>
      <c r="J12" s="24" t="str">
        <f aca="false">IF(coding!$O9="","",coding!$O9)</f>
        <v>T2</v>
      </c>
      <c r="K12" s="24" t="str">
        <f aca="false">IF(OR(coding!$I9="",coding!$J9=""),"not yet coded",IF(coding!$I9=coding!$J9,"agree","DISAGREE"))</f>
        <v>not yet coded</v>
      </c>
      <c r="L12" s="26"/>
    </row>
    <row r="13" customFormat="false" ht="15" hidden="false" customHeight="true" outlineLevel="0" collapsed="false">
      <c r="A13" s="24" t="str">
        <f aca="false">coding!$A10</f>
        <v>P009</v>
      </c>
      <c r="B13" s="15" t="str">
        <f aca="false">coding!$B10</f>
        <v>كلاهما</v>
      </c>
      <c r="C13" s="24" t="str">
        <f aca="false">IF(coding!$D10="","",coding!$D10)</f>
        <v/>
      </c>
      <c r="D13" s="24" t="str">
        <f aca="false">IF(coding!$E10="","",coding!$E10)</f>
        <v/>
      </c>
      <c r="E13" s="24" t="str">
        <f aca="false">IF(coding!$M10="","",coding!$M10)</f>
        <v>conditional</v>
      </c>
      <c r="F13" s="24" t="str">
        <f aca="false">IF(OR(coding!$D10="",coding!$E10=""),"not yet coded",IF(coding!$D10=coding!$E10,"agree","DISAGREE"))</f>
        <v>not yet coded</v>
      </c>
      <c r="G13" s="26"/>
      <c r="H13" s="24" t="str">
        <f aca="false">IF(coding!$I10="","",coding!$I10)</f>
        <v/>
      </c>
      <c r="I13" s="24" t="str">
        <f aca="false">IF(coding!$J10="","",coding!$J10)</f>
        <v/>
      </c>
      <c r="J13" s="24" t="str">
        <f aca="false">IF(coding!$O10="","",coding!$O10)</f>
        <v>T2,T4</v>
      </c>
      <c r="K13" s="24" t="str">
        <f aca="false">IF(OR(coding!$I10="",coding!$J10=""),"not yet coded",IF(coding!$I10=coding!$J10,"agree","DISAGREE"))</f>
        <v>not yet coded</v>
      </c>
      <c r="L13" s="26"/>
    </row>
    <row r="14" customFormat="false" ht="15" hidden="false" customHeight="true" outlineLevel="0" collapsed="false">
      <c r="A14" s="24" t="str">
        <f aca="false">coding!$A11</f>
        <v>P010</v>
      </c>
      <c r="B14" s="15" t="str">
        <f aca="false">coding!$B11</f>
        <v>يعزز الابتكار و الفردية</v>
      </c>
      <c r="C14" s="24" t="str">
        <f aca="false">IF(coding!$D11="","",coding!$D11)</f>
        <v/>
      </c>
      <c r="D14" s="24" t="str">
        <f aca="false">IF(coding!$E11="","",coding!$E11)</f>
        <v/>
      </c>
      <c r="E14" s="24" t="str">
        <f aca="false">IF(coding!$M11="","",coding!$M11)</f>
        <v>innovation</v>
      </c>
      <c r="F14" s="24" t="str">
        <f aca="false">IF(OR(coding!$D11="",coding!$E11=""),"not yet coded",IF(coding!$D11=coding!$E11,"agree","DISAGREE"))</f>
        <v>not yet coded</v>
      </c>
      <c r="G14" s="26"/>
      <c r="H14" s="24" t="str">
        <f aca="false">IF(coding!$I11="","",coding!$I11)</f>
        <v/>
      </c>
      <c r="I14" s="24" t="str">
        <f aca="false">IF(coding!$J11="","",coding!$J11)</f>
        <v/>
      </c>
      <c r="J14" s="24" t="str">
        <f aca="false">IF(coding!$O11="","",coding!$O11)</f>
        <v>T3,T7</v>
      </c>
      <c r="K14" s="24" t="str">
        <f aca="false">IF(OR(coding!$I11="",coding!$J11=""),"not yet coded",IF(coding!$I11=coding!$J11,"agree","DISAGREE"))</f>
        <v>not yet coded</v>
      </c>
      <c r="L14" s="26"/>
    </row>
    <row r="15" customFormat="false" ht="15" hidden="false" customHeight="true" outlineLevel="0" collapsed="false">
      <c r="A15" s="24" t="str">
        <f aca="false">coding!$A12</f>
        <v>P011</v>
      </c>
      <c r="B15" s="15" t="str">
        <f aca="false">coding!$B12</f>
        <v>يعزز الابتكار</v>
      </c>
      <c r="C15" s="24" t="str">
        <f aca="false">IF(coding!$D12="","",coding!$D12)</f>
        <v/>
      </c>
      <c r="D15" s="24" t="str">
        <f aca="false">IF(coding!$E12="","",coding!$E12)</f>
        <v/>
      </c>
      <c r="E15" s="24" t="str">
        <f aca="false">IF(coding!$M12="","",coding!$M12)</f>
        <v>innovation</v>
      </c>
      <c r="F15" s="24" t="str">
        <f aca="false">IF(OR(coding!$D12="",coding!$E12=""),"not yet coded",IF(coding!$D12=coding!$E12,"agree","DISAGREE"))</f>
        <v>not yet coded</v>
      </c>
      <c r="G15" s="26"/>
      <c r="H15" s="24" t="str">
        <f aca="false">IF(coding!$I12="","",coding!$I12)</f>
        <v/>
      </c>
      <c r="I15" s="24" t="str">
        <f aca="false">IF(coding!$J12="","",coding!$J12)</f>
        <v/>
      </c>
      <c r="J15" s="24" t="str">
        <f aca="false">IF(coding!$O12="","",coding!$O12)</f>
        <v>T6</v>
      </c>
      <c r="K15" s="24" t="str">
        <f aca="false">IF(OR(coding!$I12="",coding!$J12=""),"not yet coded",IF(coding!$I12=coding!$J12,"agree","DISAGREE"))</f>
        <v>not yet coded</v>
      </c>
      <c r="L15" s="26"/>
    </row>
    <row r="16" customFormat="false" ht="15" hidden="false" customHeight="true" outlineLevel="0" collapsed="false">
      <c r="A16" s="24" t="str">
        <f aca="false">coding!$A13</f>
        <v>P012</v>
      </c>
      <c r="B16" s="15" t="str">
        <f aca="false">coding!$B13</f>
        <v>ممكن الاثنين</v>
      </c>
      <c r="C16" s="24" t="str">
        <f aca="false">IF(coding!$D13="","",coding!$D13)</f>
        <v/>
      </c>
      <c r="D16" s="24" t="str">
        <f aca="false">IF(coding!$E13="","",coding!$E13)</f>
        <v/>
      </c>
      <c r="E16" s="24" t="str">
        <f aca="false">IF(coding!$M13="","",coding!$M13)</f>
        <v>conditional</v>
      </c>
      <c r="F16" s="24" t="str">
        <f aca="false">IF(OR(coding!$D13="",coding!$E13=""),"not yet coded",IF(coding!$D13=coding!$E13,"agree","DISAGREE"))</f>
        <v>not yet coded</v>
      </c>
      <c r="G16" s="26"/>
      <c r="H16" s="24" t="str">
        <f aca="false">IF(coding!$I13="","",coding!$I13)</f>
        <v/>
      </c>
      <c r="I16" s="24" t="str">
        <f aca="false">IF(coding!$J13="","",coding!$J13)</f>
        <v/>
      </c>
      <c r="J16" s="24" t="str">
        <f aca="false">IF(coding!$O13="","",coding!$O13)</f>
        <v>T2</v>
      </c>
      <c r="K16" s="24" t="str">
        <f aca="false">IF(OR(coding!$I13="",coding!$J13=""),"not yet coded",IF(coding!$I13=coding!$J13,"agree","DISAGREE"))</f>
        <v>not yet coded</v>
      </c>
      <c r="L16" s="26"/>
    </row>
    <row r="17" customFormat="false" ht="15" hidden="false" customHeight="true" outlineLevel="0" collapsed="false">
      <c r="A17" s="24" t="str">
        <f aca="false">coding!$A14</f>
        <v>P013</v>
      </c>
      <c r="B17" s="15" t="str">
        <f aca="false">coding!$B14</f>
        <v>ارى تنه يعزز الابتكار إلى جانب انه يمكن ان يكون داعم لطالب من جوانب مختلفه</v>
      </c>
      <c r="C17" s="24" t="str">
        <f aca="false">IF(coding!$D14="","",coding!$D14)</f>
        <v/>
      </c>
      <c r="D17" s="24" t="str">
        <f aca="false">IF(coding!$E14="","",coding!$E14)</f>
        <v/>
      </c>
      <c r="E17" s="24" t="str">
        <f aca="false">IF(coding!$M14="","",coding!$M14)</f>
        <v>innovation</v>
      </c>
      <c r="F17" s="24" t="str">
        <f aca="false">IF(OR(coding!$D14="",coding!$E14=""),"not yet coded",IF(coding!$D14=coding!$E14,"agree","DISAGREE"))</f>
        <v>not yet coded</v>
      </c>
      <c r="G17" s="26"/>
      <c r="H17" s="24" t="str">
        <f aca="false">IF(coding!$I14="","",coding!$I14)</f>
        <v/>
      </c>
      <c r="I17" s="24" t="str">
        <f aca="false">IF(coding!$J14="","",coding!$J14)</f>
        <v/>
      </c>
      <c r="J17" s="24" t="str">
        <f aca="false">IF(coding!$O14="","",coding!$O14)</f>
        <v>T1</v>
      </c>
      <c r="K17" s="24" t="str">
        <f aca="false">IF(OR(coding!$I14="",coding!$J14=""),"not yet coded",IF(coding!$I14=coding!$J14,"agree","DISAGREE"))</f>
        <v>not yet coded</v>
      </c>
      <c r="L17" s="26"/>
    </row>
    <row r="18" customFormat="false" ht="15" hidden="false" customHeight="true" outlineLevel="0" collapsed="false">
      <c r="A18" s="24" t="str">
        <f aca="false">coding!$A15</f>
        <v>P014</v>
      </c>
      <c r="B18" s="15" t="str">
        <f aca="false">coding!$B15</f>
        <v>الآثنين معاً</v>
      </c>
      <c r="C18" s="24" t="str">
        <f aca="false">IF(coding!$D15="","",coding!$D15)</f>
        <v/>
      </c>
      <c r="D18" s="24" t="str">
        <f aca="false">IF(coding!$E15="","",coding!$E15)</f>
        <v/>
      </c>
      <c r="E18" s="24" t="str">
        <f aca="false">IF(coding!$M15="","",coding!$M15)</f>
        <v>conditional</v>
      </c>
      <c r="F18" s="24" t="str">
        <f aca="false">IF(OR(coding!$D15="",coding!$E15=""),"not yet coded",IF(coding!$D15=coding!$E15,"agree","DISAGREE"))</f>
        <v>not yet coded</v>
      </c>
      <c r="G18" s="26"/>
      <c r="H18" s="24" t="str">
        <f aca="false">IF(coding!$I15="","",coding!$I15)</f>
        <v/>
      </c>
      <c r="I18" s="24" t="str">
        <f aca="false">IF(coding!$J15="","",coding!$J15)</f>
        <v/>
      </c>
      <c r="J18" s="24" t="str">
        <f aca="false">IF(coding!$O15="","",coding!$O15)</f>
        <v>T1,T5</v>
      </c>
      <c r="K18" s="24" t="str">
        <f aca="false">IF(OR(coding!$I15="",coding!$J15=""),"not yet coded",IF(coding!$I15=coding!$J15,"agree","DISAGREE"))</f>
        <v>not yet coded</v>
      </c>
      <c r="L18" s="26"/>
    </row>
    <row r="19" customFormat="false" ht="23.25" hidden="false" customHeight="true" outlineLevel="0" collapsed="false">
      <c r="A19" s="24" t="str">
        <f aca="false">coding!$A16</f>
        <v>P015</v>
      </c>
      <c r="B19" s="15" t="str">
        <f aca="false">coding!$B16</f>
        <v>محايد ، بعض الناس يعتمدون عليه بشكل مفرط بينما آخرون يعتمدون عليه كوسيلة للإبداع والابتكار</v>
      </c>
      <c r="C19" s="24" t="str">
        <f aca="false">IF(coding!$D16="","",coding!$D16)</f>
        <v/>
      </c>
      <c r="D19" s="24" t="str">
        <f aca="false">IF(coding!$E16="","",coding!$E16)</f>
        <v/>
      </c>
      <c r="E19" s="24" t="str">
        <f aca="false">IF(coding!$M16="","",coding!$M16)</f>
        <v>conditional</v>
      </c>
      <c r="F19" s="24" t="str">
        <f aca="false">IF(OR(coding!$D16="",coding!$E16=""),"not yet coded",IF(coding!$D16=coding!$E16,"agree","DISAGREE"))</f>
        <v>not yet coded</v>
      </c>
      <c r="G19" s="26"/>
      <c r="H19" s="24" t="str">
        <f aca="false">IF(coding!$I16="","",coding!$I16)</f>
        <v/>
      </c>
      <c r="I19" s="24" t="str">
        <f aca="false">IF(coding!$J16="","",coding!$J16)</f>
        <v/>
      </c>
      <c r="J19" s="24" t="str">
        <f aca="false">IF(coding!$O16="","",coding!$O16)</f>
        <v>T1,T2,T4</v>
      </c>
      <c r="K19" s="24" t="str">
        <f aca="false">IF(OR(coding!$I16="",coding!$J16=""),"not yet coded",IF(coding!$I16=coding!$J16,"agree","DISAGREE"))</f>
        <v>not yet coded</v>
      </c>
      <c r="L19" s="26"/>
    </row>
    <row r="20" customFormat="false" ht="15" hidden="false" customHeight="true" outlineLevel="0" collapsed="false">
      <c r="A20" s="24" t="str">
        <f aca="false">coding!$A17</f>
        <v>P016</v>
      </c>
      <c r="B20" s="15" t="str">
        <f aca="false">coding!$B17</f>
        <v>على حسب طريقة استخدامه</v>
      </c>
      <c r="C20" s="24" t="str">
        <f aca="false">IF(coding!$D17="","",coding!$D17)</f>
        <v/>
      </c>
      <c r="D20" s="24" t="str">
        <f aca="false">IF(coding!$E17="","",coding!$E17)</f>
        <v/>
      </c>
      <c r="E20" s="24" t="str">
        <f aca="false">IF(coding!$M17="","",coding!$M17)</f>
        <v>conditional</v>
      </c>
      <c r="F20" s="24" t="str">
        <f aca="false">IF(OR(coding!$D17="",coding!$E17=""),"not yet coded",IF(coding!$D17=coding!$E17,"agree","DISAGREE"))</f>
        <v>not yet coded</v>
      </c>
      <c r="G20" s="26"/>
      <c r="H20" s="24" t="str">
        <f aca="false">IF(coding!$I17="","",coding!$I17)</f>
        <v/>
      </c>
      <c r="I20" s="24" t="str">
        <f aca="false">IF(coding!$J17="","",coding!$J17)</f>
        <v/>
      </c>
      <c r="J20" s="24" t="str">
        <f aca="false">IF(coding!$O17="","",coding!$O17)</f>
        <v>T1,T8</v>
      </c>
      <c r="K20" s="24" t="str">
        <f aca="false">IF(OR(coding!$I17="",coding!$J17=""),"not yet coded",IF(coding!$I17=coding!$J17,"agree","DISAGREE"))</f>
        <v>not yet coded</v>
      </c>
      <c r="L20" s="26"/>
    </row>
    <row r="21" customFormat="false" ht="15" hidden="false" customHeight="true" outlineLevel="0" collapsed="false">
      <c r="A21" s="24" t="str">
        <f aca="false">coding!$A18</f>
        <v>P017</v>
      </c>
      <c r="B21" s="15" t="str">
        <f aca="false">coding!$B18</f>
        <v>يعزز الابتكار والفردية</v>
      </c>
      <c r="C21" s="24" t="str">
        <f aca="false">IF(coding!$D18="","",coding!$D18)</f>
        <v/>
      </c>
      <c r="D21" s="24" t="str">
        <f aca="false">IF(coding!$E18="","",coding!$E18)</f>
        <v/>
      </c>
      <c r="E21" s="24" t="str">
        <f aca="false">IF(coding!$M18="","",coding!$M18)</f>
        <v>innovation</v>
      </c>
      <c r="F21" s="24" t="str">
        <f aca="false">IF(OR(coding!$D18="",coding!$E18=""),"not yet coded",IF(coding!$D18=coding!$E18,"agree","DISAGREE"))</f>
        <v>not yet coded</v>
      </c>
      <c r="G21" s="26"/>
      <c r="H21" s="24" t="str">
        <f aca="false">IF(coding!$I18="","",coding!$I18)</f>
        <v/>
      </c>
      <c r="I21" s="24" t="str">
        <f aca="false">IF(coding!$J18="","",coding!$J18)</f>
        <v/>
      </c>
      <c r="J21" s="24" t="str">
        <f aca="false">IF(coding!$O18="","",coding!$O18)</f>
        <v>T2,T8</v>
      </c>
      <c r="K21" s="24" t="str">
        <f aca="false">IF(OR(coding!$I18="",coding!$J18=""),"not yet coded",IF(coding!$I18=coding!$J18,"agree","DISAGREE"))</f>
        <v>not yet coded</v>
      </c>
      <c r="L21" s="26"/>
    </row>
    <row r="22" customFormat="false" ht="15" hidden="false" customHeight="true" outlineLevel="0" collapsed="false">
      <c r="A22" s="24" t="str">
        <f aca="false">coding!$A19</f>
        <v>P018</v>
      </c>
      <c r="B22" s="15" t="str">
        <f aca="false">coding!$B19</f>
        <v>يعزّز الابتكار إذا استُخدم بوعي، وقد يسبب الاعتمادية إذا أُسيء استخدامه</v>
      </c>
      <c r="C22" s="24" t="str">
        <f aca="false">IF(coding!$D19="","",coding!$D19)</f>
        <v/>
      </c>
      <c r="D22" s="24" t="str">
        <f aca="false">IF(coding!$E19="","",coding!$E19)</f>
        <v/>
      </c>
      <c r="E22" s="24" t="str">
        <f aca="false">IF(coding!$M19="","",coding!$M19)</f>
        <v>conditional</v>
      </c>
      <c r="F22" s="24" t="str">
        <f aca="false">IF(OR(coding!$D19="",coding!$E19=""),"not yet coded",IF(coding!$D19=coding!$E19,"agree","DISAGREE"))</f>
        <v>not yet coded</v>
      </c>
      <c r="G22" s="26"/>
      <c r="H22" s="24" t="str">
        <f aca="false">IF(coding!$I19="","",coding!$I19)</f>
        <v/>
      </c>
      <c r="I22" s="24" t="str">
        <f aca="false">IF(coding!$J19="","",coding!$J19)</f>
        <v/>
      </c>
      <c r="J22" s="24" t="str">
        <f aca="false">IF(coding!$O19="","",coding!$O19)</f>
        <v>T1,T4</v>
      </c>
      <c r="K22" s="24" t="str">
        <f aca="false">IF(OR(coding!$I19="",coding!$J19=""),"not yet coded",IF(coding!$I19=coding!$J19,"agree","DISAGREE"))</f>
        <v>not yet coded</v>
      </c>
      <c r="L22" s="26"/>
    </row>
    <row r="23" customFormat="false" ht="15" hidden="false" customHeight="true" outlineLevel="0" collapsed="false">
      <c r="A23" s="24" t="str">
        <f aca="false">coding!$A20</f>
        <v>P019</v>
      </c>
      <c r="B23" s="15" t="str">
        <f aca="false">coding!$B20</f>
        <v>يعتمد على طريقة الاستخدام</v>
      </c>
      <c r="C23" s="24" t="str">
        <f aca="false">IF(coding!$D20="","",coding!$D20)</f>
        <v/>
      </c>
      <c r="D23" s="24" t="str">
        <f aca="false">IF(coding!$E20="","",coding!$E20)</f>
        <v/>
      </c>
      <c r="E23" s="24" t="str">
        <f aca="false">IF(coding!$M20="","",coding!$M20)</f>
        <v>conditional</v>
      </c>
      <c r="F23" s="24" t="str">
        <f aca="false">IF(OR(coding!$D20="",coding!$E20=""),"not yet coded",IF(coding!$D20=coding!$E20,"agree","DISAGREE"))</f>
        <v>not yet coded</v>
      </c>
      <c r="G23" s="26"/>
      <c r="H23" s="24" t="str">
        <f aca="false">IF(coding!$I20="","",coding!$I20)</f>
        <v/>
      </c>
      <c r="I23" s="24" t="str">
        <f aca="false">IF(coding!$J20="","",coding!$J20)</f>
        <v/>
      </c>
      <c r="J23" s="24" t="str">
        <f aca="false">IF(coding!$O20="","",coding!$O20)</f>
        <v>T1</v>
      </c>
      <c r="K23" s="24" t="str">
        <f aca="false">IF(OR(coding!$I20="",coding!$J20=""),"not yet coded",IF(coding!$I20=coding!$J20,"agree","DISAGREE"))</f>
        <v>not yet coded</v>
      </c>
      <c r="L23" s="26"/>
    </row>
    <row r="24" customFormat="false" ht="15" hidden="false" customHeight="true" outlineLevel="0" collapsed="false">
      <c r="A24" s="24" t="str">
        <f aca="false">coding!$A21</f>
        <v>P020</v>
      </c>
      <c r="B24" s="15" t="str">
        <f aca="false">coding!$B21</f>
        <v>ارى أنه يعزز الإبتكار</v>
      </c>
      <c r="C24" s="24" t="str">
        <f aca="false">IF(coding!$D21="","",coding!$D21)</f>
        <v/>
      </c>
      <c r="D24" s="24" t="str">
        <f aca="false">IF(coding!$E21="","",coding!$E21)</f>
        <v/>
      </c>
      <c r="E24" s="24" t="str">
        <f aca="false">IF(coding!$M21="","",coding!$M21)</f>
        <v>innovation</v>
      </c>
      <c r="F24" s="24" t="str">
        <f aca="false">IF(OR(coding!$D21="",coding!$E21=""),"not yet coded",IF(coding!$D21=coding!$E21,"agree","DISAGREE"))</f>
        <v>not yet coded</v>
      </c>
      <c r="G24" s="26"/>
      <c r="H24" s="24" t="str">
        <f aca="false">IF(coding!$I21="","",coding!$I21)</f>
        <v/>
      </c>
      <c r="I24" s="24" t="str">
        <f aca="false">IF(coding!$J21="","",coding!$J21)</f>
        <v/>
      </c>
      <c r="J24" s="24" t="str">
        <f aca="false">IF(coding!$O21="","",coding!$O21)</f>
        <v>T1,T2</v>
      </c>
      <c r="K24" s="24" t="str">
        <f aca="false">IF(OR(coding!$I21="",coding!$J21=""),"not yet coded",IF(coding!$I21=coding!$J21,"agree","DISAGREE"))</f>
        <v>not yet coded</v>
      </c>
      <c r="L24" s="26"/>
    </row>
    <row r="25" customFormat="false" ht="25.5" hidden="false" customHeight="true" outlineLevel="0" collapsed="false">
      <c r="A25" s="24" t="str">
        <f aca="false">coding!$A22</f>
        <v>P021</v>
      </c>
      <c r="B25" s="15" t="str">
        <f aca="false">coding!$B22</f>
        <v>قد يؤدي إلى الاعتمادية إذا أُسيء استخدامه، لكنه في المقابل يعزز الابتكار إذا استُخدم كأداة مساعدة تدعم الفهم وتوليد الأفكار، لذلك تأثيره يتوقف على طريقة استخدامه.</v>
      </c>
      <c r="C25" s="24" t="str">
        <f aca="false">IF(coding!$D22="","",coding!$D22)</f>
        <v/>
      </c>
      <c r="D25" s="24" t="str">
        <f aca="false">IF(coding!$E22="","",coding!$E22)</f>
        <v/>
      </c>
      <c r="E25" s="24" t="str">
        <f aca="false">IF(coding!$M22="","",coding!$M22)</f>
        <v>conditional</v>
      </c>
      <c r="F25" s="24" t="str">
        <f aca="false">IF(OR(coding!$D22="",coding!$E22=""),"not yet coded",IF(coding!$D22=coding!$E22,"agree","DISAGREE"))</f>
        <v>not yet coded</v>
      </c>
      <c r="G25" s="26"/>
      <c r="H25" s="24" t="str">
        <f aca="false">IF(coding!$I22="","",coding!$I22)</f>
        <v/>
      </c>
      <c r="I25" s="24" t="str">
        <f aca="false">IF(coding!$J22="","",coding!$J22)</f>
        <v/>
      </c>
      <c r="J25" s="24" t="str">
        <f aca="false">IF(coding!$O22="","",coding!$O22)</f>
        <v>T1</v>
      </c>
      <c r="K25" s="24" t="str">
        <f aca="false">IF(OR(coding!$I22="",coding!$J22=""),"not yet coded",IF(coding!$I22=coding!$J22,"agree","DISAGREE"))</f>
        <v>not yet coded</v>
      </c>
      <c r="L25" s="26"/>
    </row>
    <row r="26" customFormat="false" ht="48" hidden="false" customHeight="true" outlineLevel="0" collapsed="false">
      <c r="A26" s="24" t="str">
        <f aca="false">coding!$A23</f>
        <v>P022</v>
      </c>
      <c r="B26" s="15" t="str">
        <f aca="false">coding!$B23</f>
        <v>هذا يعتمد على استخدام الشخص، فمنهم من يتخذه مساعدًا ومرشدًا ولا يصدّق في كلّ شيء يطرحه، بل يتأكد ويبحث. ومنهم من يعتمد عليه اعتمادًا كليًا. وفي الحالة الأولى يعزز الابتكار لما يطرحه من خيوط أفكار دقيقة قد يطورها العقل البشري المتلقي لها، وفي الحالة الثانية تكمن الاعتمادية.</v>
      </c>
      <c r="C26" s="24" t="str">
        <f aca="false">IF(coding!$D23="","",coding!$D23)</f>
        <v/>
      </c>
      <c r="D26" s="24" t="str">
        <f aca="false">IF(coding!$E23="","",coding!$E23)</f>
        <v/>
      </c>
      <c r="E26" s="24" t="str">
        <f aca="false">IF(coding!$M23="","",coding!$M23)</f>
        <v>conditional</v>
      </c>
      <c r="F26" s="24" t="str">
        <f aca="false">IF(OR(coding!$D23="",coding!$E23=""),"not yet coded",IF(coding!$D23=coding!$E23,"agree","DISAGREE"))</f>
        <v>not yet coded</v>
      </c>
      <c r="G26" s="26"/>
      <c r="H26" s="24" t="str">
        <f aca="false">IF(coding!$I23="","",coding!$I23)</f>
        <v/>
      </c>
      <c r="I26" s="24" t="str">
        <f aca="false">IF(coding!$J23="","",coding!$J23)</f>
        <v/>
      </c>
      <c r="J26" s="24" t="str">
        <f aca="false">IF(coding!$O23="","",coding!$O23)</f>
        <v>T1,T2,T3,T4</v>
      </c>
      <c r="K26" s="24" t="str">
        <f aca="false">IF(OR(coding!$I23="",coding!$J23=""),"not yet coded",IF(coding!$I23=coding!$J23,"agree","DISAGREE"))</f>
        <v>not yet coded</v>
      </c>
      <c r="L26" s="26"/>
    </row>
    <row r="27" customFormat="false" ht="23.25" hidden="false" customHeight="true" outlineLevel="0" collapsed="false">
      <c r="A27" s="24" t="str">
        <f aca="false">coding!$A24</f>
        <v>P023</v>
      </c>
      <c r="B27" s="15" t="str">
        <f aca="false">coding!$B24</f>
        <v>قد يؤدي إلى الاثنين معا حسب استخدام الشخص وخبرته وقدرته على نقد المحتوى وكتابة أوامر قوية وقدرته على التحقق من صدق الإجابة والمراجع التي استشهد بها</v>
      </c>
      <c r="C27" s="24" t="str">
        <f aca="false">IF(coding!$D24="","",coding!$D24)</f>
        <v/>
      </c>
      <c r="D27" s="24" t="str">
        <f aca="false">IF(coding!$E24="","",coding!$E24)</f>
        <v/>
      </c>
      <c r="E27" s="24" t="str">
        <f aca="false">IF(coding!$M24="","",coding!$M24)</f>
        <v>conditional</v>
      </c>
      <c r="F27" s="24" t="str">
        <f aca="false">IF(OR(coding!$D24="",coding!$E24=""),"not yet coded",IF(coding!$D24=coding!$E24,"agree","DISAGREE"))</f>
        <v>not yet coded</v>
      </c>
      <c r="G27" s="26"/>
      <c r="H27" s="24" t="str">
        <f aca="false">IF(coding!$I24="","",coding!$I24)</f>
        <v/>
      </c>
      <c r="I27" s="24" t="str">
        <f aca="false">IF(coding!$J24="","",coding!$J24)</f>
        <v/>
      </c>
      <c r="J27" s="24" t="str">
        <f aca="false">IF(coding!$O24="","",coding!$O24)</f>
        <v>T1,T5,T6</v>
      </c>
      <c r="K27" s="24" t="str">
        <f aca="false">IF(OR(coding!$I24="",coding!$J24=""),"not yet coded",IF(coding!$I24=coding!$J24,"agree","DISAGREE"))</f>
        <v>not yet coded</v>
      </c>
      <c r="L27" s="26"/>
    </row>
    <row r="28" customFormat="false" ht="25.5" hidden="false" customHeight="true" outlineLevel="0" collapsed="false">
      <c r="A28" s="24" t="str">
        <f aca="false">coding!$A25</f>
        <v>P024</v>
      </c>
      <c r="B28" s="15" t="str">
        <f aca="false">coding!$B25</f>
        <v>قد يؤدي إلى الاعتمادية في حال عدم التدقيق خلفه وعدم التأكد، ولكن قد يعزز روح النقد لديك في حال تتبعت المعلومة وتأكدت من صحتها خلفه.</v>
      </c>
      <c r="C28" s="24" t="str">
        <f aca="false">IF(coding!$D25="","",coding!$D25)</f>
        <v/>
      </c>
      <c r="D28" s="24" t="str">
        <f aca="false">IF(coding!$E25="","",coding!$E25)</f>
        <v/>
      </c>
      <c r="E28" s="24" t="str">
        <f aca="false">IF(coding!$M25="","",coding!$M25)</f>
        <v>conditional</v>
      </c>
      <c r="F28" s="24" t="str">
        <f aca="false">IF(OR(coding!$D25="",coding!$E25=""),"not yet coded",IF(coding!$D25=coding!$E25,"agree","DISAGREE"))</f>
        <v>not yet coded</v>
      </c>
      <c r="G28" s="26"/>
      <c r="H28" s="24" t="str">
        <f aca="false">IF(coding!$I25="","",coding!$I25)</f>
        <v/>
      </c>
      <c r="I28" s="24" t="str">
        <f aca="false">IF(coding!$J25="","",coding!$J25)</f>
        <v/>
      </c>
      <c r="J28" s="24" t="str">
        <f aca="false">IF(coding!$O25="","",coding!$O25)</f>
        <v>T1</v>
      </c>
      <c r="K28" s="24" t="str">
        <f aca="false">IF(OR(coding!$I25="",coding!$J25=""),"not yet coded",IF(coding!$I25=coding!$J25,"agree","DISAGREE"))</f>
        <v>not yet coded</v>
      </c>
      <c r="L28" s="26"/>
    </row>
    <row r="29" customFormat="false" ht="15" hidden="false" customHeight="true" outlineLevel="0" collapsed="false">
      <c r="A29" s="24" t="str">
        <f aca="false">coding!$A26</f>
        <v>P025</v>
      </c>
      <c r="B29" s="15" t="str">
        <f aca="false">coding!$B26</f>
        <v>كلاهما</v>
      </c>
      <c r="C29" s="24" t="str">
        <f aca="false">IF(coding!$D26="","",coding!$D26)</f>
        <v/>
      </c>
      <c r="D29" s="24" t="str">
        <f aca="false">IF(coding!$E26="","",coding!$E26)</f>
        <v/>
      </c>
      <c r="E29" s="24" t="str">
        <f aca="false">IF(coding!$M26="","",coding!$M26)</f>
        <v>conditional</v>
      </c>
      <c r="F29" s="24" t="str">
        <f aca="false">IF(OR(coding!$D26="",coding!$E26=""),"not yet coded",IF(coding!$D26=coding!$E26,"agree","DISAGREE"))</f>
        <v>not yet coded</v>
      </c>
      <c r="G29" s="26"/>
      <c r="H29" s="24" t="str">
        <f aca="false">IF(coding!$I26="","",coding!$I26)</f>
        <v/>
      </c>
      <c r="I29" s="24" t="str">
        <f aca="false">IF(coding!$J26="","",coding!$J26)</f>
        <v/>
      </c>
      <c r="J29" s="24" t="str">
        <f aca="false">IF(coding!$O26="","",coding!$O26)</f>
        <v>T1</v>
      </c>
      <c r="K29" s="24" t="str">
        <f aca="false">IF(OR(coding!$I26="",coding!$J26=""),"not yet coded",IF(coding!$I26=coding!$J26,"agree","DISAGREE"))</f>
        <v>not yet coded</v>
      </c>
      <c r="L29" s="26"/>
    </row>
    <row r="30" customFormat="false" ht="36.75" hidden="false" customHeight="true" outlineLevel="0" collapsed="false">
      <c r="A30" s="24" t="str">
        <f aca="false">coding!$A27</f>
        <v>P026</v>
      </c>
      <c r="B30" s="15" t="str">
        <f aca="false">coding!$B27</f>
        <v>على حسب استخدام الفرد. غالبًا يؤدي إلى الاعتمادية خاصة إذا بالغ الشخص في استخدامه، لكن لو استخدمه بصورة مناسبة وبطريقة ذكية يستطيع الاستفادة منه لكسب الخبرات وتحسين الابتكار والإبداع.</v>
      </c>
      <c r="C30" s="24" t="str">
        <f aca="false">IF(coding!$D27="","",coding!$D27)</f>
        <v/>
      </c>
      <c r="D30" s="24" t="str">
        <f aca="false">IF(coding!$E27="","",coding!$E27)</f>
        <v/>
      </c>
      <c r="E30" s="24" t="str">
        <f aca="false">IF(coding!$M27="","",coding!$M27)</f>
        <v>conditional</v>
      </c>
      <c r="F30" s="24" t="str">
        <f aca="false">IF(OR(coding!$D27="",coding!$E27=""),"not yet coded",IF(coding!$D27=coding!$E27,"agree","DISAGREE"))</f>
        <v>not yet coded</v>
      </c>
      <c r="G30" s="26"/>
      <c r="H30" s="24" t="str">
        <f aca="false">IF(coding!$I27="","",coding!$I27)</f>
        <v/>
      </c>
      <c r="I30" s="24" t="str">
        <f aca="false">IF(coding!$J27="","",coding!$J27)</f>
        <v/>
      </c>
      <c r="J30" s="24" t="str">
        <f aca="false">IF(coding!$O27="","",coding!$O27)</f>
        <v>T1,T2,T6,T7</v>
      </c>
      <c r="K30" s="24" t="str">
        <f aca="false">IF(OR(coding!$I27="",coding!$J27=""),"not yet coded",IF(coding!$I27=coding!$J27,"agree","DISAGREE"))</f>
        <v>not yet coded</v>
      </c>
      <c r="L30" s="26"/>
    </row>
    <row r="31" customFormat="false" ht="15" hidden="false" customHeight="true" outlineLevel="0" collapsed="false">
      <c r="A31" s="24" t="str">
        <f aca="false">coding!$A28</f>
        <v>P027</v>
      </c>
      <c r="B31" s="15" t="str">
        <f aca="false">coding!$B28</f>
        <v>يؤدي إلى الاعتمادية بشكل أكبر .</v>
      </c>
      <c r="C31" s="24" t="str">
        <f aca="false">IF(coding!$D28="","",coding!$D28)</f>
        <v/>
      </c>
      <c r="D31" s="24" t="str">
        <f aca="false">IF(coding!$E28="","",coding!$E28)</f>
        <v/>
      </c>
      <c r="E31" s="24" t="str">
        <f aca="false">IF(coding!$M28="","",coding!$M28)</f>
        <v>dependency</v>
      </c>
      <c r="F31" s="24" t="str">
        <f aca="false">IF(OR(coding!$D28="",coding!$E28=""),"not yet coded",IF(coding!$D28=coding!$E28,"agree","DISAGREE"))</f>
        <v>not yet coded</v>
      </c>
      <c r="G31" s="26"/>
      <c r="H31" s="24" t="str">
        <f aca="false">IF(coding!$I28="","",coding!$I28)</f>
        <v/>
      </c>
      <c r="I31" s="24" t="str">
        <f aca="false">IF(coding!$J28="","",coding!$J28)</f>
        <v/>
      </c>
      <c r="J31" s="24" t="str">
        <f aca="false">IF(coding!$O28="","",coding!$O28)</f>
        <v>T1,T4</v>
      </c>
      <c r="K31" s="24" t="str">
        <f aca="false">IF(OR(coding!$I28="",coding!$J28=""),"not yet coded",IF(coding!$I28=coding!$J28,"agree","DISAGREE"))</f>
        <v>not yet coded</v>
      </c>
      <c r="L31" s="26"/>
    </row>
    <row r="32" customFormat="false" ht="25.5" hidden="false" customHeight="true" outlineLevel="0" collapsed="false">
      <c r="A32" s="24" t="str">
        <f aca="false">coding!$A29</f>
        <v>P028</v>
      </c>
      <c r="B32" s="15" t="str">
        <f aca="false">coding!$B29</f>
        <v>قد يعزز الابتكار والفردية إذا تم استخدامه بطريقة صحيحة ، لأنه يساعد على تطوير الأفكار ولكن الاعتماد الكلي عليه قد يضعف الإبداع الشخصي.</v>
      </c>
      <c r="C32" s="24" t="str">
        <f aca="false">IF(coding!$D29="","",coding!$D29)</f>
        <v/>
      </c>
      <c r="D32" s="24" t="str">
        <f aca="false">IF(coding!$E29="","",coding!$E29)</f>
        <v/>
      </c>
      <c r="E32" s="24" t="str">
        <f aca="false">IF(coding!$M29="","",coding!$M29)</f>
        <v>conditional</v>
      </c>
      <c r="F32" s="24" t="str">
        <f aca="false">IF(OR(coding!$D29="",coding!$E29=""),"not yet coded",IF(coding!$D29=coding!$E29,"agree","DISAGREE"))</f>
        <v>not yet coded</v>
      </c>
      <c r="G32" s="26"/>
      <c r="H32" s="24" t="str">
        <f aca="false">IF(coding!$I29="","",coding!$I29)</f>
        <v/>
      </c>
      <c r="I32" s="24" t="str">
        <f aca="false">IF(coding!$J29="","",coding!$J29)</f>
        <v/>
      </c>
      <c r="J32" s="24" t="str">
        <f aca="false">IF(coding!$O29="","",coding!$O29)</f>
        <v>T1,T4,T6</v>
      </c>
      <c r="K32" s="24" t="str">
        <f aca="false">IF(OR(coding!$I29="",coding!$J29=""),"not yet coded",IF(coding!$I29=coding!$J29,"agree","DISAGREE"))</f>
        <v>not yet coded</v>
      </c>
      <c r="L32" s="26"/>
    </row>
    <row r="33" customFormat="false" ht="15" hidden="false" customHeight="true" outlineLevel="0" collapsed="false">
      <c r="A33" s="24" t="str">
        <f aca="false">coding!$A30</f>
        <v>P029</v>
      </c>
      <c r="B33" s="15" t="str">
        <f aca="false">coding!$B30</f>
        <v>قد يعزز الابتكار والفرديه على المدى الطويل</v>
      </c>
      <c r="C33" s="24" t="str">
        <f aca="false">IF(coding!$D30="","",coding!$D30)</f>
        <v/>
      </c>
      <c r="D33" s="24" t="str">
        <f aca="false">IF(coding!$E30="","",coding!$E30)</f>
        <v/>
      </c>
      <c r="E33" s="24" t="str">
        <f aca="false">IF(coding!$M30="","",coding!$M30)</f>
        <v>innovation</v>
      </c>
      <c r="F33" s="24" t="str">
        <f aca="false">IF(OR(coding!$D30="",coding!$E30=""),"not yet coded",IF(coding!$D30=coding!$E30,"agree","DISAGREE"))</f>
        <v>not yet coded</v>
      </c>
      <c r="G33" s="26"/>
      <c r="H33" s="24" t="str">
        <f aca="false">IF(coding!$I30="","",coding!$I30)</f>
        <v/>
      </c>
      <c r="I33" s="24" t="str">
        <f aca="false">IF(coding!$J30="","",coding!$J30)</f>
        <v/>
      </c>
      <c r="J33" s="24" t="str">
        <f aca="false">IF(coding!$O30="","",coding!$O30)</f>
        <v>T1,T2,T6</v>
      </c>
      <c r="K33" s="24" t="str">
        <f aca="false">IF(OR(coding!$I30="",coding!$J30=""),"not yet coded",IF(coding!$I30=coding!$J30,"agree","DISAGREE"))</f>
        <v>not yet coded</v>
      </c>
      <c r="L33" s="26"/>
    </row>
    <row r="34" customFormat="false" ht="15" hidden="false" customHeight="true" outlineLevel="0" collapsed="false">
      <c r="A34" s="24" t="str">
        <f aca="false">coding!$A31</f>
        <v>P030</v>
      </c>
      <c r="B34" s="15" t="str">
        <f aca="false">coding!$B31</f>
        <v>يعزز الإبتكار</v>
      </c>
      <c r="C34" s="24" t="str">
        <f aca="false">IF(coding!$D31="","",coding!$D31)</f>
        <v/>
      </c>
      <c r="D34" s="24" t="str">
        <f aca="false">IF(coding!$E31="","",coding!$E31)</f>
        <v/>
      </c>
      <c r="E34" s="24" t="str">
        <f aca="false">IF(coding!$M31="","",coding!$M31)</f>
        <v>innovation</v>
      </c>
      <c r="F34" s="24" t="str">
        <f aca="false">IF(OR(coding!$D31="",coding!$E31=""),"not yet coded",IF(coding!$D31=coding!$E31,"agree","DISAGREE"))</f>
        <v>not yet coded</v>
      </c>
      <c r="G34" s="26"/>
      <c r="H34" s="24" t="str">
        <f aca="false">IF(coding!$I31="","",coding!$I31)</f>
        <v/>
      </c>
      <c r="I34" s="24" t="str">
        <f aca="false">IF(coding!$J31="","",coding!$J31)</f>
        <v/>
      </c>
      <c r="J34" s="24" t="str">
        <f aca="false">IF(coding!$O31="","",coding!$O31)</f>
        <v>T9</v>
      </c>
      <c r="K34" s="24" t="str">
        <f aca="false">IF(OR(coding!$I31="",coding!$J31=""),"not yet coded",IF(coding!$I31=coding!$J31,"agree","DISAGREE"))</f>
        <v>not yet coded</v>
      </c>
      <c r="L34" s="26"/>
    </row>
    <row r="35" customFormat="false" ht="23.25" hidden="false" customHeight="true" outlineLevel="0" collapsed="false">
      <c r="A35" s="24" t="str">
        <f aca="false">coding!$A32</f>
        <v>P031</v>
      </c>
      <c r="B35" s="15" t="str">
        <f aca="false">coding!$B32</f>
        <v>أرى أنه يعتمد على الشخص، بالنسبة لي لا أعتمد عليه اعتمادا كليا إنما يساعدني في الابتكار خاصة في العروض التقديمية</v>
      </c>
      <c r="C35" s="24" t="str">
        <f aca="false">IF(coding!$D32="","",coding!$D32)</f>
        <v/>
      </c>
      <c r="D35" s="24" t="str">
        <f aca="false">IF(coding!$E32="","",coding!$E32)</f>
        <v/>
      </c>
      <c r="E35" s="24" t="str">
        <f aca="false">IF(coding!$M32="","",coding!$M32)</f>
        <v>conditional</v>
      </c>
      <c r="F35" s="24" t="str">
        <f aca="false">IF(OR(coding!$D32="",coding!$E32=""),"not yet coded",IF(coding!$D32=coding!$E32,"agree","DISAGREE"))</f>
        <v>not yet coded</v>
      </c>
      <c r="G35" s="26"/>
      <c r="H35" s="24" t="str">
        <f aca="false">IF(coding!$I32="","",coding!$I32)</f>
        <v/>
      </c>
      <c r="I35" s="24" t="str">
        <f aca="false">IF(coding!$J32="","",coding!$J32)</f>
        <v/>
      </c>
      <c r="J35" s="24" t="str">
        <f aca="false">IF(coding!$O32="","",coding!$O32)</f>
        <v>T1</v>
      </c>
      <c r="K35" s="24" t="str">
        <f aca="false">IF(OR(coding!$I32="",coding!$J32=""),"not yet coded",IF(coding!$I32=coding!$J32,"agree","DISAGREE"))</f>
        <v>not yet coded</v>
      </c>
      <c r="L35" s="26"/>
    </row>
    <row r="36" customFormat="false" ht="15" hidden="false" customHeight="true" outlineLevel="0" collapsed="false">
      <c r="A36" s="24" t="str">
        <f aca="false">coding!$A33</f>
        <v>P032</v>
      </c>
      <c r="B36" s="15" t="str">
        <f aca="false">coding!$B33</f>
        <v>الابتكار</v>
      </c>
      <c r="C36" s="24" t="str">
        <f aca="false">IF(coding!$D33="","",coding!$D33)</f>
        <v/>
      </c>
      <c r="D36" s="24" t="str">
        <f aca="false">IF(coding!$E33="","",coding!$E33)</f>
        <v/>
      </c>
      <c r="E36" s="24" t="str">
        <f aca="false">IF(coding!$M33="","",coding!$M33)</f>
        <v>innovation</v>
      </c>
      <c r="F36" s="24" t="str">
        <f aca="false">IF(OR(coding!$D33="",coding!$E33=""),"not yet coded",IF(coding!$D33=coding!$E33,"agree","DISAGREE"))</f>
        <v>not yet coded</v>
      </c>
      <c r="G36" s="26"/>
      <c r="H36" s="24" t="str">
        <f aca="false">IF(coding!$I33="","",coding!$I33)</f>
        <v/>
      </c>
      <c r="I36" s="24" t="str">
        <f aca="false">IF(coding!$J33="","",coding!$J33)</f>
        <v/>
      </c>
      <c r="J36" s="24" t="str">
        <f aca="false">IF(coding!$O33="","",coding!$O33)</f>
        <v>T1,T2</v>
      </c>
      <c r="K36" s="24" t="str">
        <f aca="false">IF(OR(coding!$I33="",coding!$J33=""),"not yet coded",IF(coding!$I33=coding!$J33,"agree","DISAGREE"))</f>
        <v>not yet coded</v>
      </c>
      <c r="L36" s="26"/>
    </row>
    <row r="37" customFormat="false" ht="15" hidden="false" customHeight="true" outlineLevel="0" collapsed="false">
      <c r="A37" s="24" t="str">
        <f aca="false">coding!$A34</f>
        <v>P033</v>
      </c>
      <c r="B37" s="15" t="str">
        <f aca="false">coding!$B34</f>
        <v>الإثنان معًا، يجب أن يكون الاستخدام واعٍ</v>
      </c>
      <c r="C37" s="24" t="str">
        <f aca="false">IF(coding!$D34="","",coding!$D34)</f>
        <v/>
      </c>
      <c r="D37" s="24" t="str">
        <f aca="false">IF(coding!$E34="","",coding!$E34)</f>
        <v/>
      </c>
      <c r="E37" s="24" t="str">
        <f aca="false">IF(coding!$M34="","",coding!$M34)</f>
        <v>conditional</v>
      </c>
      <c r="F37" s="24" t="str">
        <f aca="false">IF(OR(coding!$D34="",coding!$E34=""),"not yet coded",IF(coding!$D34=coding!$E34,"agree","DISAGREE"))</f>
        <v>not yet coded</v>
      </c>
      <c r="G37" s="26"/>
      <c r="H37" s="24" t="str">
        <f aca="false">IF(coding!$I34="","",coding!$I34)</f>
        <v/>
      </c>
      <c r="I37" s="24" t="str">
        <f aca="false">IF(coding!$J34="","",coding!$J34)</f>
        <v/>
      </c>
      <c r="J37" s="24" t="str">
        <f aca="false">IF(coding!$O34="","",coding!$O34)</f>
        <v>T1,T2</v>
      </c>
      <c r="K37" s="24" t="str">
        <f aca="false">IF(OR(coding!$I34="",coding!$J34=""),"not yet coded",IF(coding!$I34=coding!$J34,"agree","DISAGREE"))</f>
        <v>not yet coded</v>
      </c>
      <c r="L37" s="26"/>
    </row>
    <row r="38" customFormat="false" ht="15" hidden="false" customHeight="true" outlineLevel="0" collapsed="false">
      <c r="A38" s="24" t="str">
        <f aca="false">coding!$A35</f>
        <v>P034</v>
      </c>
      <c r="B38" s="15" t="str">
        <f aca="false">coding!$B35</f>
        <v>هذا الأمر نسبي و يعتمد على عقلية من يستخدمه</v>
      </c>
      <c r="C38" s="24" t="str">
        <f aca="false">IF(coding!$D35="","",coding!$D35)</f>
        <v/>
      </c>
      <c r="D38" s="24" t="str">
        <f aca="false">IF(coding!$E35="","",coding!$E35)</f>
        <v/>
      </c>
      <c r="E38" s="24" t="str">
        <f aca="false">IF(coding!$M35="","",coding!$M35)</f>
        <v>conditional</v>
      </c>
      <c r="F38" s="24" t="str">
        <f aca="false">IF(OR(coding!$D35="",coding!$E35=""),"not yet coded",IF(coding!$D35=coding!$E35,"agree","DISAGREE"))</f>
        <v>not yet coded</v>
      </c>
      <c r="G38" s="26"/>
      <c r="H38" s="24" t="str">
        <f aca="false">IF(coding!$I35="","",coding!$I35)</f>
        <v/>
      </c>
      <c r="I38" s="24" t="str">
        <f aca="false">IF(coding!$J35="","",coding!$J35)</f>
        <v/>
      </c>
      <c r="J38" s="24" t="str">
        <f aca="false">IF(coding!$O35="","",coding!$O35)</f>
        <v>T1,T2</v>
      </c>
      <c r="K38" s="24" t="str">
        <f aca="false">IF(OR(coding!$I35="",coding!$J35=""),"not yet coded",IF(coding!$I35=coding!$J35,"agree","DISAGREE"))</f>
        <v>not yet coded</v>
      </c>
      <c r="L38" s="26"/>
    </row>
    <row r="39" customFormat="false" ht="25.5" hidden="false" customHeight="true" outlineLevel="0" collapsed="false">
      <c r="A39" s="24" t="str">
        <f aca="false">coding!$A36</f>
        <v>P035</v>
      </c>
      <c r="B39" s="15" t="str">
        <f aca="false">coding!$B36</f>
        <v>حسب نوع الاستخدام الفردي اذا كان نسخاً شاملاً فهو يؤدي إلى الاعتمادية وتقليل الابتكار والفردية.</v>
      </c>
      <c r="C39" s="24" t="str">
        <f aca="false">IF(coding!$D36="","",coding!$D36)</f>
        <v/>
      </c>
      <c r="D39" s="24" t="str">
        <f aca="false">IF(coding!$E36="","",coding!$E36)</f>
        <v/>
      </c>
      <c r="E39" s="24" t="str">
        <f aca="false">IF(coding!$M36="","",coding!$M36)</f>
        <v>conditional</v>
      </c>
      <c r="F39" s="24" t="str">
        <f aca="false">IF(OR(coding!$D36="",coding!$E36=""),"not yet coded",IF(coding!$D36=coding!$E36,"agree","DISAGREE"))</f>
        <v>not yet coded</v>
      </c>
      <c r="G39" s="26"/>
      <c r="H39" s="24" t="str">
        <f aca="false">IF(coding!$I36="","",coding!$I36)</f>
        <v/>
      </c>
      <c r="I39" s="24" t="str">
        <f aca="false">IF(coding!$J36="","",coding!$J36)</f>
        <v/>
      </c>
      <c r="J39" s="24" t="str">
        <f aca="false">IF(coding!$O36="","",coding!$O36)</f>
        <v>T1,T5</v>
      </c>
      <c r="K39" s="24" t="str">
        <f aca="false">IF(OR(coding!$I36="",coding!$J36=""),"not yet coded",IF(coding!$I36=coding!$J36,"agree","DISAGREE"))</f>
        <v>not yet coded</v>
      </c>
      <c r="L39" s="26"/>
    </row>
    <row r="40" customFormat="false" ht="15" hidden="false" customHeight="true" outlineLevel="0" collapsed="false">
      <c r="A40" s="24" t="str">
        <f aca="false">coding!$A37</f>
        <v>P036</v>
      </c>
      <c r="B40" s="15" t="str">
        <f aca="false">coding!$B37</f>
        <v>يعتمد على استخدام الفرد له</v>
      </c>
      <c r="C40" s="24" t="str">
        <f aca="false">IF(coding!$D37="","",coding!$D37)</f>
        <v/>
      </c>
      <c r="D40" s="24" t="str">
        <f aca="false">IF(coding!$E37="","",coding!$E37)</f>
        <v/>
      </c>
      <c r="E40" s="24" t="str">
        <f aca="false">IF(coding!$M37="","",coding!$M37)</f>
        <v>conditional</v>
      </c>
      <c r="F40" s="24" t="str">
        <f aca="false">IF(OR(coding!$D37="",coding!$E37=""),"not yet coded",IF(coding!$D37=coding!$E37,"agree","DISAGREE"))</f>
        <v>not yet coded</v>
      </c>
      <c r="G40" s="26"/>
      <c r="H40" s="24" t="str">
        <f aca="false">IF(coding!$I37="","",coding!$I37)</f>
        <v/>
      </c>
      <c r="I40" s="24" t="str">
        <f aca="false">IF(coding!$J37="","",coding!$J37)</f>
        <v/>
      </c>
      <c r="J40" s="24" t="str">
        <f aca="false">IF(coding!$O37="","",coding!$O37)</f>
        <v>T1,T4,T8</v>
      </c>
      <c r="K40" s="24" t="str">
        <f aca="false">IF(OR(coding!$I37="",coding!$J37=""),"not yet coded",IF(coding!$I37=coding!$J37,"agree","DISAGREE"))</f>
        <v>not yet coded</v>
      </c>
      <c r="L40" s="26"/>
    </row>
    <row r="41" customFormat="false" ht="15" hidden="false" customHeight="true" outlineLevel="0" collapsed="false">
      <c r="A41" s="24" t="str">
        <f aca="false">coding!$A38</f>
        <v>P037</v>
      </c>
      <c r="B41" s="15" t="str">
        <f aca="false">coding!$B38</f>
        <v>الاعتمادية</v>
      </c>
      <c r="C41" s="24" t="str">
        <f aca="false">IF(coding!$D38="","",coding!$D38)</f>
        <v/>
      </c>
      <c r="D41" s="24" t="str">
        <f aca="false">IF(coding!$E38="","",coding!$E38)</f>
        <v/>
      </c>
      <c r="E41" s="24" t="str">
        <f aca="false">IF(coding!$M38="","",coding!$M38)</f>
        <v>dependency</v>
      </c>
      <c r="F41" s="24" t="str">
        <f aca="false">IF(OR(coding!$D38="",coding!$E38=""),"not yet coded",IF(coding!$D38=coding!$E38,"agree","DISAGREE"))</f>
        <v>not yet coded</v>
      </c>
      <c r="G41" s="26"/>
      <c r="H41" s="24" t="str">
        <f aca="false">IF(coding!$I38="","",coding!$I38)</f>
        <v/>
      </c>
      <c r="I41" s="24" t="str">
        <f aca="false">IF(coding!$J38="","",coding!$J38)</f>
        <v/>
      </c>
      <c r="J41" s="24" t="str">
        <f aca="false">IF(coding!$O38="","",coding!$O38)</f>
        <v>T1</v>
      </c>
      <c r="K41" s="24" t="str">
        <f aca="false">IF(OR(coding!$I38="",coding!$J38=""),"not yet coded",IF(coding!$I38=coding!$J38,"agree","DISAGREE"))</f>
        <v>not yet coded</v>
      </c>
      <c r="L41" s="26"/>
    </row>
    <row r="42" customFormat="false" ht="15" hidden="false" customHeight="true" outlineLevel="0" collapsed="false">
      <c r="A42" s="24" t="str">
        <f aca="false">coding!$A39</f>
        <v>P038</v>
      </c>
      <c r="B42" s="15" t="str">
        <f aca="false">coding!$B39</f>
        <v>يعزز</v>
      </c>
      <c r="C42" s="24" t="str">
        <f aca="false">IF(coding!$D39="","",coding!$D39)</f>
        <v/>
      </c>
      <c r="D42" s="24" t="str">
        <f aca="false">IF(coding!$E39="","",coding!$E39)</f>
        <v/>
      </c>
      <c r="E42" s="24" t="str">
        <f aca="false">IF(coding!$M39="","",coding!$M39)</f>
        <v>innovation</v>
      </c>
      <c r="F42" s="24" t="str">
        <f aca="false">IF(OR(coding!$D39="",coding!$E39=""),"not yet coded",IF(coding!$D39=coding!$E39,"agree","DISAGREE"))</f>
        <v>not yet coded</v>
      </c>
      <c r="G42" s="26"/>
      <c r="H42" s="24" t="str">
        <f aca="false">IF(coding!$I39="","",coding!$I39)</f>
        <v/>
      </c>
      <c r="I42" s="24" t="str">
        <f aca="false">IF(coding!$J39="","",coding!$J39)</f>
        <v/>
      </c>
      <c r="J42" s="24" t="str">
        <f aca="false">IF(coding!$O39="","",coding!$O39)</f>
        <v>T5</v>
      </c>
      <c r="K42" s="24" t="str">
        <f aca="false">IF(OR(coding!$I39="",coding!$J39=""),"not yet coded",IF(coding!$I39=coding!$J39,"agree","DISAGREE"))</f>
        <v>not yet coded</v>
      </c>
      <c r="L42" s="26"/>
    </row>
    <row r="43" customFormat="false" ht="36.75" hidden="false" customHeight="true" outlineLevel="0" collapsed="false">
      <c r="A43" s="24" t="str">
        <f aca="false">coding!$A40</f>
        <v>P039</v>
      </c>
      <c r="B43" s="15" t="str">
        <f aca="false">coding!$B40</f>
        <v>برأيي يعزز الابتكار والفردية، ولكن هذا يعتمد بشكل كبير على المستخدم. لكن ما يطرحه الذكاء الإصطناعي يحتاج إلى أن يصبح أكثر توافقا مع ما أريد، وفي بعض الأحيان قد لا يكون مبتكرا بالقدر المتوقع، فيتحتم عليَّ تطوير وتغيير ما طرحه.</v>
      </c>
      <c r="C43" s="24" t="str">
        <f aca="false">IF(coding!$D40="","",coding!$D40)</f>
        <v/>
      </c>
      <c r="D43" s="24" t="str">
        <f aca="false">IF(coding!$E40="","",coding!$E40)</f>
        <v/>
      </c>
      <c r="E43" s="24" t="str">
        <f aca="false">IF(coding!$M40="","",coding!$M40)</f>
        <v>conditional</v>
      </c>
      <c r="F43" s="24" t="str">
        <f aca="false">IF(OR(coding!$D40="",coding!$E40=""),"not yet coded",IF(coding!$D40=coding!$E40,"agree","DISAGREE"))</f>
        <v>not yet coded</v>
      </c>
      <c r="G43" s="26"/>
      <c r="H43" s="24" t="str">
        <f aca="false">IF(coding!$I40="","",coding!$I40)</f>
        <v/>
      </c>
      <c r="I43" s="24" t="str">
        <f aca="false">IF(coding!$J40="","",coding!$J40)</f>
        <v/>
      </c>
      <c r="J43" s="24" t="str">
        <f aca="false">IF(coding!$O40="","",coding!$O40)</f>
        <v>T1,T2</v>
      </c>
      <c r="K43" s="24" t="str">
        <f aca="false">IF(OR(coding!$I40="",coding!$J40=""),"not yet coded",IF(coding!$I40=coding!$J40,"agree","DISAGREE"))</f>
        <v>not yet coded</v>
      </c>
      <c r="L43" s="26"/>
    </row>
    <row r="44" customFormat="false" ht="15" hidden="false" customHeight="true" outlineLevel="0" collapsed="false">
      <c r="A44" s="24" t="str">
        <f aca="false">coding!$A41</f>
        <v>P040</v>
      </c>
      <c r="B44" s="15" t="str">
        <f aca="false">coding!$B41</f>
        <v>-</v>
      </c>
      <c r="C44" s="24" t="str">
        <f aca="false">IF(coding!$D41="","",coding!$D41)</f>
        <v/>
      </c>
      <c r="D44" s="24" t="str">
        <f aca="false">IF(coding!$E41="","",coding!$E41)</f>
        <v/>
      </c>
      <c r="E44" s="24" t="str">
        <f aca="false">IF(coding!$M41="","",coding!$M41)</f>
        <v>uncodable</v>
      </c>
      <c r="F44" s="24" t="str">
        <f aca="false">IF(OR(coding!$D41="",coding!$E41=""),"not yet coded",IF(coding!$D41=coding!$E41,"agree","DISAGREE"))</f>
        <v>not yet coded</v>
      </c>
      <c r="G44" s="26"/>
      <c r="H44" s="24" t="str">
        <f aca="false">IF(coding!$I41="","",coding!$I41)</f>
        <v/>
      </c>
      <c r="I44" s="24" t="str">
        <f aca="false">IF(coding!$J41="","",coding!$J41)</f>
        <v/>
      </c>
      <c r="J44" s="24" t="str">
        <f aca="false">IF(coding!$O41="","",coding!$O41)</f>
        <v>T9</v>
      </c>
      <c r="K44" s="24" t="str">
        <f aca="false">IF(OR(coding!$I41="",coding!$J41=""),"not yet coded",IF(coding!$I41=coding!$J41,"agree","DISAGREE"))</f>
        <v>not yet coded</v>
      </c>
      <c r="L44" s="26"/>
    </row>
    <row r="45" customFormat="false" ht="15" hidden="false" customHeight="true" outlineLevel="0" collapsed="false">
      <c r="A45" s="24" t="str">
        <f aca="false">coding!$A42</f>
        <v>P041</v>
      </c>
      <c r="B45" s="15" t="str">
        <f aca="false">coding!$B42</f>
        <v>هو سلاح ذو حدين</v>
      </c>
      <c r="C45" s="24" t="str">
        <f aca="false">IF(coding!$D42="","",coding!$D42)</f>
        <v/>
      </c>
      <c r="D45" s="24" t="str">
        <f aca="false">IF(coding!$E42="","",coding!$E42)</f>
        <v/>
      </c>
      <c r="E45" s="24" t="str">
        <f aca="false">IF(coding!$M42="","",coding!$M42)</f>
        <v>conditional</v>
      </c>
      <c r="F45" s="24" t="str">
        <f aca="false">IF(OR(coding!$D42="",coding!$E42=""),"not yet coded",IF(coding!$D42=coding!$E42,"agree","DISAGREE"))</f>
        <v>not yet coded</v>
      </c>
      <c r="G45" s="26"/>
      <c r="H45" s="24" t="str">
        <f aca="false">IF(coding!$I42="","",coding!$I42)</f>
        <v/>
      </c>
      <c r="I45" s="24" t="str">
        <f aca="false">IF(coding!$J42="","",coding!$J42)</f>
        <v/>
      </c>
      <c r="J45" s="24" t="str">
        <f aca="false">IF(coding!$O42="","",coding!$O42)</f>
        <v>T1</v>
      </c>
      <c r="K45" s="24" t="str">
        <f aca="false">IF(OR(coding!$I42="",coding!$J42=""),"not yet coded",IF(coding!$I42=coding!$J42,"agree","DISAGREE"))</f>
        <v>not yet coded</v>
      </c>
      <c r="L45" s="26"/>
    </row>
    <row r="46" customFormat="false" ht="15" hidden="false" customHeight="true" outlineLevel="0" collapsed="false">
      <c r="A46" s="24" t="str">
        <f aca="false">coding!$A43</f>
        <v>P042</v>
      </c>
      <c r="B46" s="15" t="str">
        <f aca="false">coding!$B43</f>
        <v>يؤدي إلى الاعتمادية</v>
      </c>
      <c r="C46" s="24" t="str">
        <f aca="false">IF(coding!$D43="","",coding!$D43)</f>
        <v/>
      </c>
      <c r="D46" s="24" t="str">
        <f aca="false">IF(coding!$E43="","",coding!$E43)</f>
        <v/>
      </c>
      <c r="E46" s="24" t="str">
        <f aca="false">IF(coding!$M43="","",coding!$M43)</f>
        <v>dependency</v>
      </c>
      <c r="F46" s="24" t="str">
        <f aca="false">IF(OR(coding!$D43="",coding!$E43=""),"not yet coded",IF(coding!$D43=coding!$E43,"agree","DISAGREE"))</f>
        <v>not yet coded</v>
      </c>
      <c r="G46" s="26"/>
      <c r="H46" s="24" t="str">
        <f aca="false">IF(coding!$I43="","",coding!$I43)</f>
        <v/>
      </c>
      <c r="I46" s="24" t="str">
        <f aca="false">IF(coding!$J43="","",coding!$J43)</f>
        <v/>
      </c>
      <c r="J46" s="24" t="str">
        <f aca="false">IF(coding!$O43="","",coding!$O43)</f>
        <v>T1,T3</v>
      </c>
      <c r="K46" s="24" t="str">
        <f aca="false">IF(OR(coding!$I43="",coding!$J43=""),"not yet coded",IF(coding!$I43=coding!$J43,"agree","DISAGREE"))</f>
        <v>not yet coded</v>
      </c>
      <c r="L46" s="26"/>
    </row>
    <row r="47" customFormat="false" ht="23.25" hidden="false" customHeight="true" outlineLevel="0" collapsed="false">
      <c r="A47" s="24" t="str">
        <f aca="false">coding!$A44</f>
        <v>P043</v>
      </c>
      <c r="B47" s="15" t="str">
        <f aca="false">coding!$B44</f>
        <v>على حسب المستخدم نفسه هل يعتمد عليه في إنجاز أعماله أم يستخدمه لمراجعة أب٩اثه مثلا و تطوير أفكاره</v>
      </c>
      <c r="C47" s="24" t="str">
        <f aca="false">IF(coding!$D44="","",coding!$D44)</f>
        <v/>
      </c>
      <c r="D47" s="24" t="str">
        <f aca="false">IF(coding!$E44="","",coding!$E44)</f>
        <v/>
      </c>
      <c r="E47" s="24" t="str">
        <f aca="false">IF(coding!$M44="","",coding!$M44)</f>
        <v>conditional</v>
      </c>
      <c r="F47" s="24" t="str">
        <f aca="false">IF(OR(coding!$D44="",coding!$E44=""),"not yet coded",IF(coding!$D44=coding!$E44,"agree","DISAGREE"))</f>
        <v>not yet coded</v>
      </c>
      <c r="G47" s="26"/>
      <c r="H47" s="24" t="str">
        <f aca="false">IF(coding!$I44="","",coding!$I44)</f>
        <v/>
      </c>
      <c r="I47" s="24" t="str">
        <f aca="false">IF(coding!$J44="","",coding!$J44)</f>
        <v/>
      </c>
      <c r="J47" s="24" t="str">
        <f aca="false">IF(coding!$O44="","",coding!$O44)</f>
        <v>T1,T2</v>
      </c>
      <c r="K47" s="24" t="str">
        <f aca="false">IF(OR(coding!$I44="",coding!$J44=""),"not yet coded",IF(coding!$I44=coding!$J44,"agree","DISAGREE"))</f>
        <v>not yet coded</v>
      </c>
      <c r="L47" s="26"/>
    </row>
    <row r="48" customFormat="false" ht="15" hidden="false" customHeight="true" outlineLevel="0" collapsed="false">
      <c r="A48" s="24" t="str">
        <f aca="false">coding!$A45</f>
        <v>P044</v>
      </c>
      <c r="B48" s="15" t="str">
        <f aca="false">coding!$B45</f>
        <v>يؤدي إلى الاعتمادية بشكل اكبر.</v>
      </c>
      <c r="C48" s="24" t="str">
        <f aca="false">IF(coding!$D45="","",coding!$D45)</f>
        <v/>
      </c>
      <c r="D48" s="24" t="str">
        <f aca="false">IF(coding!$E45="","",coding!$E45)</f>
        <v/>
      </c>
      <c r="E48" s="24" t="str">
        <f aca="false">IF(coding!$M45="","",coding!$M45)</f>
        <v>dependency</v>
      </c>
      <c r="F48" s="24" t="str">
        <f aca="false">IF(OR(coding!$D45="",coding!$E45=""),"not yet coded",IF(coding!$D45=coding!$E45,"agree","DISAGREE"))</f>
        <v>not yet coded</v>
      </c>
      <c r="G48" s="26"/>
      <c r="H48" s="24" t="str">
        <f aca="false">IF(coding!$I45="","",coding!$I45)</f>
        <v/>
      </c>
      <c r="I48" s="24" t="str">
        <f aca="false">IF(coding!$J45="","",coding!$J45)</f>
        <v/>
      </c>
      <c r="J48" s="24" t="str">
        <f aca="false">IF(coding!$O45="","",coding!$O45)</f>
        <v>T1</v>
      </c>
      <c r="K48" s="24" t="str">
        <f aca="false">IF(OR(coding!$I45="",coding!$J45=""),"not yet coded",IF(coding!$I45=coding!$J45,"agree","DISAGREE"))</f>
        <v>not yet coded</v>
      </c>
      <c r="L48" s="26"/>
    </row>
    <row r="49" customFormat="false" ht="15" hidden="false" customHeight="true" outlineLevel="0" collapsed="false">
      <c r="A49" s="24" t="str">
        <f aca="false">coding!$A46</f>
        <v>P045</v>
      </c>
      <c r="B49" s="15" t="str">
        <f aca="false">coding!$B46</f>
        <v>إذا زاد استخدامه عن حده يصبح اعتمادية</v>
      </c>
      <c r="C49" s="24" t="str">
        <f aca="false">IF(coding!$D46="","",coding!$D46)</f>
        <v/>
      </c>
      <c r="D49" s="24" t="str">
        <f aca="false">IF(coding!$E46="","",coding!$E46)</f>
        <v/>
      </c>
      <c r="E49" s="24" t="str">
        <f aca="false">IF(coding!$M46="","",coding!$M46)</f>
        <v>conditional</v>
      </c>
      <c r="F49" s="24" t="str">
        <f aca="false">IF(OR(coding!$D46="",coding!$E46=""),"not yet coded",IF(coding!$D46=coding!$E46,"agree","DISAGREE"))</f>
        <v>not yet coded</v>
      </c>
      <c r="G49" s="26"/>
      <c r="H49" s="24" t="str">
        <f aca="false">IF(coding!$I46="","",coding!$I46)</f>
        <v/>
      </c>
      <c r="I49" s="24" t="str">
        <f aca="false">IF(coding!$J46="","",coding!$J46)</f>
        <v/>
      </c>
      <c r="J49" s="24" t="str">
        <f aca="false">IF(coding!$O46="","",coding!$O46)</f>
        <v>T1,T5,T8</v>
      </c>
      <c r="K49" s="24" t="str">
        <f aca="false">IF(OR(coding!$I46="",coding!$J46=""),"not yet coded",IF(coding!$I46=coding!$J46,"agree","DISAGREE"))</f>
        <v>not yet coded</v>
      </c>
      <c r="L49" s="26"/>
    </row>
    <row r="50" customFormat="false" ht="15" hidden="false" customHeight="true" outlineLevel="0" collapsed="false">
      <c r="A50" s="24" t="str">
        <f aca="false">coding!$A47</f>
        <v>P046</v>
      </c>
      <c r="B50" s="15" t="str">
        <f aca="false">coding!$B47</f>
        <v>الاعتمادية</v>
      </c>
      <c r="C50" s="24" t="str">
        <f aca="false">IF(coding!$D47="","",coding!$D47)</f>
        <v/>
      </c>
      <c r="D50" s="24" t="str">
        <f aca="false">IF(coding!$E47="","",coding!$E47)</f>
        <v/>
      </c>
      <c r="E50" s="24" t="str">
        <f aca="false">IF(coding!$M47="","",coding!$M47)</f>
        <v>dependency</v>
      </c>
      <c r="F50" s="24" t="str">
        <f aca="false">IF(OR(coding!$D47="",coding!$E47=""),"not yet coded",IF(coding!$D47=coding!$E47,"agree","DISAGREE"))</f>
        <v>not yet coded</v>
      </c>
      <c r="G50" s="26"/>
      <c r="H50" s="24" t="str">
        <f aca="false">IF(coding!$I47="","",coding!$I47)</f>
        <v/>
      </c>
      <c r="I50" s="24" t="str">
        <f aca="false">IF(coding!$J47="","",coding!$J47)</f>
        <v/>
      </c>
      <c r="J50" s="24" t="str">
        <f aca="false">IF(coding!$O47="","",coding!$O47)</f>
        <v>T1,T2</v>
      </c>
      <c r="K50" s="24" t="str">
        <f aca="false">IF(OR(coding!$I47="",coding!$J47=""),"not yet coded",IF(coding!$I47=coding!$J47,"agree","DISAGREE"))</f>
        <v>not yet coded</v>
      </c>
      <c r="L50" s="26"/>
    </row>
    <row r="51" customFormat="false" ht="36.75" hidden="false" customHeight="true" outlineLevel="0" collapsed="false">
      <c r="A51" s="24" t="str">
        <f aca="false">coding!$A48</f>
        <v>P047</v>
      </c>
      <c r="B51" s="15" t="str">
        <f aca="false">coding!$B48</f>
        <v>يعتمد على استخدام الفرد وتفكيره اتجاه الذكاء الاصطناعي وإنني أرى أن الذكاء الاصطناعي يدعم الفرد للابتكار ويقوم بتنوير بصيرته في حالة استخدامه الصحيح للذكاء الاصطناعي.</v>
      </c>
      <c r="C51" s="24" t="str">
        <f aca="false">IF(coding!$D48="","",coding!$D48)</f>
        <v/>
      </c>
      <c r="D51" s="24" t="str">
        <f aca="false">IF(coding!$E48="","",coding!$E48)</f>
        <v/>
      </c>
      <c r="E51" s="24" t="str">
        <f aca="false">IF(coding!$M48="","",coding!$M48)</f>
        <v>conditional</v>
      </c>
      <c r="F51" s="24" t="str">
        <f aca="false">IF(OR(coding!$D48="",coding!$E48=""),"not yet coded",IF(coding!$D48=coding!$E48,"agree","DISAGREE"))</f>
        <v>not yet coded</v>
      </c>
      <c r="G51" s="26"/>
      <c r="H51" s="24" t="str">
        <f aca="false">IF(coding!$I48="","",coding!$I48)</f>
        <v/>
      </c>
      <c r="I51" s="24" t="str">
        <f aca="false">IF(coding!$J48="","",coding!$J48)</f>
        <v/>
      </c>
      <c r="J51" s="24" t="str">
        <f aca="false">IF(coding!$O48="","",coding!$O48)</f>
        <v>T2</v>
      </c>
      <c r="K51" s="24" t="str">
        <f aca="false">IF(OR(coding!$I48="",coding!$J48=""),"not yet coded",IF(coding!$I48=coding!$J48,"agree","DISAGREE"))</f>
        <v>not yet coded</v>
      </c>
      <c r="L51" s="26"/>
    </row>
    <row r="52" customFormat="false" ht="15" hidden="false" customHeight="true" outlineLevel="0" collapsed="false">
      <c r="A52" s="24" t="str">
        <f aca="false">coding!$A49</f>
        <v>P048</v>
      </c>
      <c r="B52" s="15" t="str">
        <f aca="false">coding!$B49</f>
        <v>الاعتمادية 💯</v>
      </c>
      <c r="C52" s="24" t="str">
        <f aca="false">IF(coding!$D49="","",coding!$D49)</f>
        <v/>
      </c>
      <c r="D52" s="24" t="str">
        <f aca="false">IF(coding!$E49="","",coding!$E49)</f>
        <v/>
      </c>
      <c r="E52" s="24" t="str">
        <f aca="false">IF(coding!$M49="","",coding!$M49)</f>
        <v>dependency</v>
      </c>
      <c r="F52" s="24" t="str">
        <f aca="false">IF(OR(coding!$D49="",coding!$E49=""),"not yet coded",IF(coding!$D49=coding!$E49,"agree","DISAGREE"))</f>
        <v>not yet coded</v>
      </c>
      <c r="G52" s="26"/>
      <c r="H52" s="24" t="str">
        <f aca="false">IF(coding!$I49="","",coding!$I49)</f>
        <v/>
      </c>
      <c r="I52" s="24" t="str">
        <f aca="false">IF(coding!$J49="","",coding!$J49)</f>
        <v/>
      </c>
      <c r="J52" s="24" t="str">
        <f aca="false">IF(coding!$O49="","",coding!$O49)</f>
        <v>T1</v>
      </c>
      <c r="K52" s="24" t="str">
        <f aca="false">IF(OR(coding!$I49="",coding!$J49=""),"not yet coded",IF(coding!$I49=coding!$J49,"agree","DISAGREE"))</f>
        <v>not yet coded</v>
      </c>
      <c r="L52" s="26"/>
    </row>
    <row r="53" customFormat="false" ht="15" hidden="false" customHeight="true" outlineLevel="0" collapsed="false">
      <c r="A53" s="24" t="str">
        <f aca="false">coding!$A50</f>
        <v>P049</v>
      </c>
      <c r="B53" s="15" t="str">
        <f aca="false">coding!$B50</f>
        <v>يعزز الابتكار</v>
      </c>
      <c r="C53" s="24" t="str">
        <f aca="false">IF(coding!$D50="","",coding!$D50)</f>
        <v/>
      </c>
      <c r="D53" s="24" t="str">
        <f aca="false">IF(coding!$E50="","",coding!$E50)</f>
        <v/>
      </c>
      <c r="E53" s="24" t="str">
        <f aca="false">IF(coding!$M50="","",coding!$M50)</f>
        <v>innovation</v>
      </c>
      <c r="F53" s="24" t="str">
        <f aca="false">IF(OR(coding!$D50="",coding!$E50=""),"not yet coded",IF(coding!$D50=coding!$E50,"agree","DISAGREE"))</f>
        <v>not yet coded</v>
      </c>
      <c r="G53" s="26"/>
      <c r="H53" s="24" t="str">
        <f aca="false">IF(coding!$I50="","",coding!$I50)</f>
        <v/>
      </c>
      <c r="I53" s="24" t="str">
        <f aca="false">IF(coding!$J50="","",coding!$J50)</f>
        <v/>
      </c>
      <c r="J53" s="24" t="str">
        <f aca="false">IF(coding!$O50="","",coding!$O50)</f>
        <v>T2,T4</v>
      </c>
      <c r="K53" s="24" t="str">
        <f aca="false">IF(OR(coding!$I50="",coding!$J50=""),"not yet coded",IF(coding!$I50=coding!$J50,"agree","DISAGREE"))</f>
        <v>not yet coded</v>
      </c>
      <c r="L53" s="26"/>
    </row>
    <row r="54" customFormat="false" ht="15" hidden="false" customHeight="true" outlineLevel="0" collapsed="false">
      <c r="A54" s="24" t="str">
        <f aca="false">coding!$A51</f>
        <v>P050</v>
      </c>
      <c r="B54" s="15" t="str">
        <f aca="false">coding!$B51</f>
        <v>الاثنين معّا ويعتمد ذلك على استخدام الطالب نفسه</v>
      </c>
      <c r="C54" s="24" t="str">
        <f aca="false">IF(coding!$D51="","",coding!$D51)</f>
        <v/>
      </c>
      <c r="D54" s="24" t="str">
        <f aca="false">IF(coding!$E51="","",coding!$E51)</f>
        <v/>
      </c>
      <c r="E54" s="24" t="str">
        <f aca="false">IF(coding!$M51="","",coding!$M51)</f>
        <v>conditional</v>
      </c>
      <c r="F54" s="24" t="str">
        <f aca="false">IF(OR(coding!$D51="",coding!$E51=""),"not yet coded",IF(coding!$D51=coding!$E51,"agree","DISAGREE"))</f>
        <v>not yet coded</v>
      </c>
      <c r="G54" s="26"/>
      <c r="H54" s="24" t="str">
        <f aca="false">IF(coding!$I51="","",coding!$I51)</f>
        <v/>
      </c>
      <c r="I54" s="24" t="str">
        <f aca="false">IF(coding!$J51="","",coding!$J51)</f>
        <v/>
      </c>
      <c r="J54" s="24" t="str">
        <f aca="false">IF(coding!$O51="","",coding!$O51)</f>
        <v>T1,T2</v>
      </c>
      <c r="K54" s="24" t="str">
        <f aca="false">IF(OR(coding!$I51="",coding!$J51=""),"not yet coded",IF(coding!$I51=coding!$J51,"agree","DISAGREE"))</f>
        <v>not yet coded</v>
      </c>
      <c r="L54" s="26"/>
    </row>
    <row r="55" customFormat="false" ht="15" hidden="false" customHeight="true" outlineLevel="0" collapsed="false">
      <c r="A55" s="24" t="str">
        <f aca="false">coding!$A52</f>
        <v>P051</v>
      </c>
      <c r="B55" s="15" t="str">
        <f aca="false">coding!$B52</f>
        <v>هذا وهذا</v>
      </c>
      <c r="C55" s="24" t="str">
        <f aca="false">IF(coding!$D52="","",coding!$D52)</f>
        <v/>
      </c>
      <c r="D55" s="24" t="str">
        <f aca="false">IF(coding!$E52="","",coding!$E52)</f>
        <v/>
      </c>
      <c r="E55" s="24" t="str">
        <f aca="false">IF(coding!$M52="","",coding!$M52)</f>
        <v>conditional</v>
      </c>
      <c r="F55" s="24" t="str">
        <f aca="false">IF(OR(coding!$D52="",coding!$E52=""),"not yet coded",IF(coding!$D52=coding!$E52,"agree","DISAGREE"))</f>
        <v>not yet coded</v>
      </c>
      <c r="G55" s="26"/>
      <c r="H55" s="24" t="str">
        <f aca="false">IF(coding!$I52="","",coding!$I52)</f>
        <v/>
      </c>
      <c r="I55" s="24" t="str">
        <f aca="false">IF(coding!$J52="","",coding!$J52)</f>
        <v/>
      </c>
      <c r="J55" s="24" t="str">
        <f aca="false">IF(coding!$O52="","",coding!$O52)</f>
        <v>T1,T2</v>
      </c>
      <c r="K55" s="24" t="str">
        <f aca="false">IF(OR(coding!$I52="",coding!$J52=""),"not yet coded",IF(coding!$I52=coding!$J52,"agree","DISAGREE"))</f>
        <v>not yet coded</v>
      </c>
      <c r="L55" s="26"/>
    </row>
    <row r="56" customFormat="false" ht="23.25" hidden="false" customHeight="true" outlineLevel="0" collapsed="false">
      <c r="A56" s="24" t="str">
        <f aca="false">coding!$A53</f>
        <v>P052</v>
      </c>
      <c r="B56" s="15" t="str">
        <f aca="false">coding!$B53</f>
        <v>على حسب طريقة إستخدامه فإذا كان لتحيل نصوص خارجية لفهم معمق لها فذلك يعزز الابتكار أما إذا كان للإنتهاء من الأعمال بشكل أسرع فذلك مؤدي إلى الأعتمادية</v>
      </c>
      <c r="C56" s="24" t="str">
        <f aca="false">IF(coding!$D53="","",coding!$D53)</f>
        <v/>
      </c>
      <c r="D56" s="24" t="str">
        <f aca="false">IF(coding!$E53="","",coding!$E53)</f>
        <v/>
      </c>
      <c r="E56" s="24" t="str">
        <f aca="false">IF(coding!$M53="","",coding!$M53)</f>
        <v>conditional</v>
      </c>
      <c r="F56" s="24" t="str">
        <f aca="false">IF(OR(coding!$D53="",coding!$E53=""),"not yet coded",IF(coding!$D53=coding!$E53,"agree","DISAGREE"))</f>
        <v>not yet coded</v>
      </c>
      <c r="G56" s="26"/>
      <c r="H56" s="24" t="str">
        <f aca="false">IF(coding!$I53="","",coding!$I53)</f>
        <v/>
      </c>
      <c r="I56" s="24" t="str">
        <f aca="false">IF(coding!$J53="","",coding!$J53)</f>
        <v/>
      </c>
      <c r="J56" s="24" t="str">
        <f aca="false">IF(coding!$O53="","",coding!$O53)</f>
        <v>T1,T2</v>
      </c>
      <c r="K56" s="24" t="str">
        <f aca="false">IF(OR(coding!$I53="",coding!$J53=""),"not yet coded",IF(coding!$I53=coding!$J53,"agree","DISAGREE"))</f>
        <v>not yet coded</v>
      </c>
      <c r="L56" s="26"/>
    </row>
    <row r="57" customFormat="false" ht="48" hidden="false" customHeight="true" outlineLevel="0" collapsed="false">
      <c r="A57" s="24" t="str">
        <f aca="false">coding!$A54</f>
        <v>P053</v>
      </c>
      <c r="B57" s="15" t="str">
        <f aca="false">coding!$B54</f>
        <v>هو "سلاح ذو حدين"؛ فقد يؤدي للاعتمادية إذا اكتفى الطالب بالمخرجات الجاهزة، لكنه يعزز الابتكار إذا استُخدم كـ "مساعد بحثي" لتوليد أفكار أولية، أو للمقارنة بين النصوص، أو لتنظيم البيانات الضخمة، مما يفرغ ذهن الباحث للتحليل الإبداعي العميق.</v>
      </c>
      <c r="C57" s="24" t="str">
        <f aca="false">IF(coding!$D54="","",coding!$D54)</f>
        <v/>
      </c>
      <c r="D57" s="24" t="str">
        <f aca="false">IF(coding!$E54="","",coding!$E54)</f>
        <v/>
      </c>
      <c r="E57" s="24" t="str">
        <f aca="false">IF(coding!$M54="","",coding!$M54)</f>
        <v>conditional</v>
      </c>
      <c r="F57" s="24" t="str">
        <f aca="false">IF(OR(coding!$D54="",coding!$E54=""),"not yet coded",IF(coding!$D54=coding!$E54,"agree","DISAGREE"))</f>
        <v>not yet coded</v>
      </c>
      <c r="G57" s="26"/>
      <c r="H57" s="24" t="str">
        <f aca="false">IF(coding!$I54="","",coding!$I54)</f>
        <v/>
      </c>
      <c r="I57" s="24" t="str">
        <f aca="false">IF(coding!$J54="","",coding!$J54)</f>
        <v/>
      </c>
      <c r="J57" s="24" t="str">
        <f aca="false">IF(coding!$O54="","",coding!$O54)</f>
        <v>T1,T2,T3</v>
      </c>
      <c r="K57" s="24" t="str">
        <f aca="false">IF(OR(coding!$I54="",coding!$J54=""),"not yet coded",IF(coding!$I54=coding!$J54,"agree","DISAGREE"))</f>
        <v>not yet coded</v>
      </c>
      <c r="L57" s="26"/>
    </row>
    <row r="58" customFormat="false" ht="15" hidden="false" customHeight="true" outlineLevel="0" collapsed="false">
      <c r="A58" s="24" t="str">
        <f aca="false">coding!$A55</f>
        <v>P054</v>
      </c>
      <c r="B58" s="15" t="str">
        <f aca="false">coding!$B55</f>
        <v>يعزز الابتكار</v>
      </c>
      <c r="C58" s="24" t="str">
        <f aca="false">IF(coding!$D55="","",coding!$D55)</f>
        <v/>
      </c>
      <c r="D58" s="24" t="str">
        <f aca="false">IF(coding!$E55="","",coding!$E55)</f>
        <v/>
      </c>
      <c r="E58" s="24" t="str">
        <f aca="false">IF(coding!$M55="","",coding!$M55)</f>
        <v>innovation</v>
      </c>
      <c r="F58" s="24" t="str">
        <f aca="false">IF(OR(coding!$D55="",coding!$E55=""),"not yet coded",IF(coding!$D55=coding!$E55,"agree","DISAGREE"))</f>
        <v>not yet coded</v>
      </c>
      <c r="G58" s="26"/>
      <c r="H58" s="24" t="str">
        <f aca="false">IF(coding!$I55="","",coding!$I55)</f>
        <v/>
      </c>
      <c r="I58" s="24" t="str">
        <f aca="false">IF(coding!$J55="","",coding!$J55)</f>
        <v/>
      </c>
      <c r="J58" s="24" t="str">
        <f aca="false">IF(coding!$O55="","",coding!$O55)</f>
        <v>T9</v>
      </c>
      <c r="K58" s="24" t="str">
        <f aca="false">IF(OR(coding!$I55="",coding!$J55=""),"not yet coded",IF(coding!$I55=coding!$J55,"agree","DISAGREE"))</f>
        <v>not yet coded</v>
      </c>
      <c r="L58" s="26"/>
    </row>
    <row r="59" customFormat="false" ht="15" hidden="false" customHeight="true" outlineLevel="0" collapsed="false">
      <c r="A59" s="24" t="str">
        <f aca="false">coding!$A56</f>
        <v>P055</v>
      </c>
      <c r="B59" s="15" t="str">
        <f aca="false">coding!$B56</f>
        <v>بعزز الابتكار</v>
      </c>
      <c r="C59" s="24" t="str">
        <f aca="false">IF(coding!$D56="","",coding!$D56)</f>
        <v/>
      </c>
      <c r="D59" s="24" t="str">
        <f aca="false">IF(coding!$E56="","",coding!$E56)</f>
        <v/>
      </c>
      <c r="E59" s="24" t="str">
        <f aca="false">IF(coding!$M56="","",coding!$M56)</f>
        <v>innovation</v>
      </c>
      <c r="F59" s="24" t="str">
        <f aca="false">IF(OR(coding!$D56="",coding!$E56=""),"not yet coded",IF(coding!$D56=coding!$E56,"agree","DISAGREE"))</f>
        <v>not yet coded</v>
      </c>
      <c r="G59" s="26"/>
      <c r="H59" s="24" t="str">
        <f aca="false">IF(coding!$I56="","",coding!$I56)</f>
        <v/>
      </c>
      <c r="I59" s="24" t="str">
        <f aca="false">IF(coding!$J56="","",coding!$J56)</f>
        <v/>
      </c>
      <c r="J59" s="24" t="str">
        <f aca="false">IF(coding!$O56="","",coding!$O56)</f>
        <v>T2,T4</v>
      </c>
      <c r="K59" s="24" t="str">
        <f aca="false">IF(OR(coding!$I56="",coding!$J56=""),"not yet coded",IF(coding!$I56=coding!$J56,"agree","DISAGREE"))</f>
        <v>not yet coded</v>
      </c>
      <c r="L59" s="26"/>
    </row>
    <row r="60" customFormat="false" ht="15" hidden="false" customHeight="true" outlineLevel="0" collapsed="false">
      <c r="A60" s="24" t="str">
        <f aca="false">coding!$A57</f>
        <v>P056</v>
      </c>
      <c r="B60" s="15" t="str">
        <f aca="false">coding!$B57</f>
        <v>في الحقيقة ارى انه الاعتمادية أشتقت التفكير بمفردي</v>
      </c>
      <c r="C60" s="24" t="str">
        <f aca="false">IF(coding!$D57="","",coding!$D57)</f>
        <v/>
      </c>
      <c r="D60" s="24" t="str">
        <f aca="false">IF(coding!$E57="","",coding!$E57)</f>
        <v/>
      </c>
      <c r="E60" s="24" t="str">
        <f aca="false">IF(coding!$M57="","",coding!$M57)</f>
        <v>dependency</v>
      </c>
      <c r="F60" s="24" t="str">
        <f aca="false">IF(OR(coding!$D57="",coding!$E57=""),"not yet coded",IF(coding!$D57=coding!$E57,"agree","DISAGREE"))</f>
        <v>not yet coded</v>
      </c>
      <c r="G60" s="26"/>
      <c r="H60" s="24" t="str">
        <f aca="false">IF(coding!$I57="","",coding!$I57)</f>
        <v/>
      </c>
      <c r="I60" s="24" t="str">
        <f aca="false">IF(coding!$J57="","",coding!$J57)</f>
        <v/>
      </c>
      <c r="J60" s="24" t="str">
        <f aca="false">IF(coding!$O57="","",coding!$O57)</f>
        <v>T1,T2</v>
      </c>
      <c r="K60" s="24" t="str">
        <f aca="false">IF(OR(coding!$I57="",coding!$J57=""),"not yet coded",IF(coding!$I57=coding!$J57,"agree","DISAGREE"))</f>
        <v>not yet coded</v>
      </c>
      <c r="L60" s="26"/>
    </row>
    <row r="61" customFormat="false" ht="15" hidden="false" customHeight="true" outlineLevel="0" collapsed="false">
      <c r="A61" s="24" t="str">
        <f aca="false">coding!$A58</f>
        <v>P057</v>
      </c>
      <c r="B61" s="15" t="str">
        <f aca="false">coding!$B58</f>
        <v>لا اعلم حسب</v>
      </c>
      <c r="C61" s="24" t="str">
        <f aca="false">IF(coding!$D58="","",coding!$D58)</f>
        <v/>
      </c>
      <c r="D61" s="24" t="str">
        <f aca="false">IF(coding!$E58="","",coding!$E58)</f>
        <v/>
      </c>
      <c r="E61" s="24" t="str">
        <f aca="false">IF(coding!$M58="","",coding!$M58)</f>
        <v>uncodable</v>
      </c>
      <c r="F61" s="24" t="str">
        <f aca="false">IF(OR(coding!$D58="",coding!$E58=""),"not yet coded",IF(coding!$D58=coding!$E58,"agree","DISAGREE"))</f>
        <v>not yet coded</v>
      </c>
      <c r="G61" s="26"/>
      <c r="H61" s="24" t="str">
        <f aca="false">IF(coding!$I58="","",coding!$I58)</f>
        <v/>
      </c>
      <c r="I61" s="24" t="str">
        <f aca="false">IF(coding!$J58="","",coding!$J58)</f>
        <v/>
      </c>
      <c r="J61" s="24" t="str">
        <f aca="false">IF(coding!$O58="","",coding!$O58)</f>
        <v>T1,T5</v>
      </c>
      <c r="K61" s="24" t="str">
        <f aca="false">IF(OR(coding!$I58="",coding!$J58=""),"not yet coded",IF(coding!$I58=coding!$J58,"agree","DISAGREE"))</f>
        <v>not yet coded</v>
      </c>
      <c r="L61" s="26"/>
    </row>
    <row r="62" customFormat="false" ht="15" hidden="false" customHeight="true" outlineLevel="0" collapsed="false">
      <c r="A62" s="24" t="str">
        <f aca="false">coding!$A59</f>
        <v>P058</v>
      </c>
      <c r="B62" s="15" t="str">
        <f aca="false">coding!$B59</f>
        <v>الاثنين</v>
      </c>
      <c r="C62" s="24" t="str">
        <f aca="false">IF(coding!$D59="","",coding!$D59)</f>
        <v/>
      </c>
      <c r="D62" s="24" t="str">
        <f aca="false">IF(coding!$E59="","",coding!$E59)</f>
        <v/>
      </c>
      <c r="E62" s="24" t="str">
        <f aca="false">IF(coding!$M59="","",coding!$M59)</f>
        <v>conditional</v>
      </c>
      <c r="F62" s="24" t="str">
        <f aca="false">IF(OR(coding!$D59="",coding!$E59=""),"not yet coded",IF(coding!$D59=coding!$E59,"agree","DISAGREE"))</f>
        <v>not yet coded</v>
      </c>
      <c r="G62" s="26"/>
      <c r="H62" s="24" t="str">
        <f aca="false">IF(coding!$I59="","",coding!$I59)</f>
        <v/>
      </c>
      <c r="I62" s="24" t="str">
        <f aca="false">IF(coding!$J59="","",coding!$J59)</f>
        <v/>
      </c>
      <c r="J62" s="24" t="str">
        <f aca="false">IF(coding!$O59="","",coding!$O59)</f>
        <v>T1</v>
      </c>
      <c r="K62" s="24" t="str">
        <f aca="false">IF(OR(coding!$I59="",coding!$J59=""),"not yet coded",IF(coding!$I59=coding!$J59,"agree","DISAGREE"))</f>
        <v>not yet coded</v>
      </c>
      <c r="L62" s="26"/>
    </row>
    <row r="63" customFormat="false" ht="15" hidden="false" customHeight="true" outlineLevel="0" collapsed="false">
      <c r="A63" s="24" t="str">
        <f aca="false">coding!$A60</f>
        <v>P059</v>
      </c>
      <c r="B63" s="15" t="str">
        <f aca="false">coding!$B60</f>
        <v>الاعتمادية وبشدة</v>
      </c>
      <c r="C63" s="24" t="str">
        <f aca="false">IF(coding!$D60="","",coding!$D60)</f>
        <v/>
      </c>
      <c r="D63" s="24" t="str">
        <f aca="false">IF(coding!$E60="","",coding!$E60)</f>
        <v/>
      </c>
      <c r="E63" s="24" t="str">
        <f aca="false">IF(coding!$M60="","",coding!$M60)</f>
        <v>dependency</v>
      </c>
      <c r="F63" s="24" t="str">
        <f aca="false">IF(OR(coding!$D60="",coding!$E60=""),"not yet coded",IF(coding!$D60=coding!$E60,"agree","DISAGREE"))</f>
        <v>not yet coded</v>
      </c>
      <c r="G63" s="26"/>
      <c r="H63" s="24" t="str">
        <f aca="false">IF(coding!$I60="","",coding!$I60)</f>
        <v/>
      </c>
      <c r="I63" s="24" t="str">
        <f aca="false">IF(coding!$J60="","",coding!$J60)</f>
        <v/>
      </c>
      <c r="J63" s="24" t="str">
        <f aca="false">IF(coding!$O60="","",coding!$O60)</f>
        <v>T1</v>
      </c>
      <c r="K63" s="24" t="str">
        <f aca="false">IF(OR(coding!$I60="",coding!$J60=""),"not yet coded",IF(coding!$I60=coding!$J60,"agree","DISAGREE"))</f>
        <v>not yet coded</v>
      </c>
      <c r="L63" s="26"/>
    </row>
    <row r="64" customFormat="false" ht="15" hidden="false" customHeight="true" outlineLevel="0" collapsed="false">
      <c r="A64" s="24" t="str">
        <f aca="false">coding!$A61</f>
        <v>P060</v>
      </c>
      <c r="B64" s="15" t="str">
        <f aca="false">coding!$B61</f>
        <v>يعزز الإبتكار و تفكير نقدي</v>
      </c>
      <c r="C64" s="24" t="str">
        <f aca="false">IF(coding!$D61="","",coding!$D61)</f>
        <v/>
      </c>
      <c r="D64" s="24" t="str">
        <f aca="false">IF(coding!$E61="","",coding!$E61)</f>
        <v/>
      </c>
      <c r="E64" s="24" t="str">
        <f aca="false">IF(coding!$M61="","",coding!$M61)</f>
        <v>innovation</v>
      </c>
      <c r="F64" s="24" t="str">
        <f aca="false">IF(OR(coding!$D61="",coding!$E61=""),"not yet coded",IF(coding!$D61=coding!$E61,"agree","DISAGREE"))</f>
        <v>not yet coded</v>
      </c>
      <c r="G64" s="26"/>
      <c r="H64" s="24" t="str">
        <f aca="false">IF(coding!$I61="","",coding!$I61)</f>
        <v/>
      </c>
      <c r="I64" s="24" t="str">
        <f aca="false">IF(coding!$J61="","",coding!$J61)</f>
        <v/>
      </c>
      <c r="J64" s="24" t="str">
        <f aca="false">IF(coding!$O61="","",coding!$O61)</f>
        <v>T1,T2</v>
      </c>
      <c r="K64" s="24" t="str">
        <f aca="false">IF(OR(coding!$I61="",coding!$J61=""),"not yet coded",IF(coding!$I61=coding!$J61,"agree","DISAGREE"))</f>
        <v>not yet coded</v>
      </c>
      <c r="L64" s="26"/>
    </row>
    <row r="65" customFormat="false" ht="15" hidden="false" customHeight="true" outlineLevel="0" collapsed="false">
      <c r="A65" s="24" t="str">
        <f aca="false">coding!$A62</f>
        <v>P061</v>
      </c>
      <c r="B65" s="15" t="str">
        <f aca="false">coding!$B62</f>
        <v>بالاستخدام الصحيح قد يعزز الابتكار، لكن إذا استُخدم بشكل اتكّالي فإنه قاتل للابداع.</v>
      </c>
      <c r="C65" s="24" t="str">
        <f aca="false">IF(coding!$D62="","",coding!$D62)</f>
        <v/>
      </c>
      <c r="D65" s="24" t="str">
        <f aca="false">IF(coding!$E62="","",coding!$E62)</f>
        <v/>
      </c>
      <c r="E65" s="24" t="str">
        <f aca="false">IF(coding!$M62="","",coding!$M62)</f>
        <v>conditional</v>
      </c>
      <c r="F65" s="24" t="str">
        <f aca="false">IF(OR(coding!$D62="",coding!$E62=""),"not yet coded",IF(coding!$D62=coding!$E62,"agree","DISAGREE"))</f>
        <v>not yet coded</v>
      </c>
      <c r="G65" s="26"/>
      <c r="H65" s="24" t="str">
        <f aca="false">IF(coding!$I62="","",coding!$I62)</f>
        <v/>
      </c>
      <c r="I65" s="24" t="str">
        <f aca="false">IF(coding!$J62="","",coding!$J62)</f>
        <v/>
      </c>
      <c r="J65" s="24" t="str">
        <f aca="false">IF(coding!$O62="","",coding!$O62)</f>
        <v>T1,T3</v>
      </c>
      <c r="K65" s="24" t="str">
        <f aca="false">IF(OR(coding!$I62="",coding!$J62=""),"not yet coded",IF(coding!$I62=coding!$J62,"agree","DISAGREE"))</f>
        <v>not yet coded</v>
      </c>
      <c r="L65" s="26"/>
    </row>
    <row r="66" customFormat="false" ht="57" hidden="false" customHeight="true" outlineLevel="0" collapsed="false">
      <c r="A66" s="24" t="str">
        <f aca="false">coding!$A63</f>
        <v>P062</v>
      </c>
      <c r="B66" s="15" t="str">
        <f aca="false">coding!$B63</f>
        <v>هو وسط بين هذ وذاك ويرجع في الأخير إلى كيفية استعمال الشخص له والغرض والهدف منه فقد يؤدي إلى الاعتمادية بشكل كبير إذا استعمله الشخص وقام بنسخ المعلومات ونسقها دون قراءتها ومعالجتها وخصوصا في آداء البحوث وقد يستخدمه الشخص في تلقي الأفكار فقط بينهما يقول بمعالجتها وتحليلها بنفسه فقد يدفعه ذلك للابتكار والاعتماد على النفس</v>
      </c>
      <c r="C66" s="24" t="str">
        <f aca="false">IF(coding!$D63="","",coding!$D63)</f>
        <v/>
      </c>
      <c r="D66" s="24" t="str">
        <f aca="false">IF(coding!$E63="","",coding!$E63)</f>
        <v/>
      </c>
      <c r="E66" s="24" t="str">
        <f aca="false">IF(coding!$M63="","",coding!$M63)</f>
        <v>conditional</v>
      </c>
      <c r="F66" s="24" t="str">
        <f aca="false">IF(OR(coding!$D63="",coding!$E63=""),"not yet coded",IF(coding!$D63=coding!$E63,"agree","DISAGREE"))</f>
        <v>not yet coded</v>
      </c>
      <c r="G66" s="26"/>
      <c r="H66" s="24" t="str">
        <f aca="false">IF(coding!$I63="","",coding!$I63)</f>
        <v/>
      </c>
      <c r="I66" s="24" t="str">
        <f aca="false">IF(coding!$J63="","",coding!$J63)</f>
        <v/>
      </c>
      <c r="J66" s="24" t="str">
        <f aca="false">IF(coding!$O63="","",coding!$O63)</f>
        <v>T1,T2</v>
      </c>
      <c r="K66" s="24" t="str">
        <f aca="false">IF(OR(coding!$I63="",coding!$J63=""),"not yet coded",IF(coding!$I63=coding!$J63,"agree","DISAGREE"))</f>
        <v>not yet coded</v>
      </c>
      <c r="L66" s="26"/>
    </row>
    <row r="67" customFormat="false" ht="15" hidden="false" customHeight="true" outlineLevel="0" collapsed="false">
      <c r="A67" s="24" t="str">
        <f aca="false">coding!$A64</f>
        <v>P063</v>
      </c>
      <c r="B67" s="15" t="str">
        <f aca="false">coding!$B64</f>
        <v>يعزز الابتكار وفي بعض الاستخدامات الخاطئة يؤدي إلى الاعتمادية</v>
      </c>
      <c r="C67" s="24" t="str">
        <f aca="false">IF(coding!$D64="","",coding!$D64)</f>
        <v/>
      </c>
      <c r="D67" s="24" t="str">
        <f aca="false">IF(coding!$E64="","",coding!$E64)</f>
        <v/>
      </c>
      <c r="E67" s="24" t="str">
        <f aca="false">IF(coding!$M64="","",coding!$M64)</f>
        <v>conditional</v>
      </c>
      <c r="F67" s="24" t="str">
        <f aca="false">IF(OR(coding!$D64="",coding!$E64=""),"not yet coded",IF(coding!$D64=coding!$E64,"agree","DISAGREE"))</f>
        <v>not yet coded</v>
      </c>
      <c r="G67" s="26"/>
      <c r="H67" s="24" t="str">
        <f aca="false">IF(coding!$I64="","",coding!$I64)</f>
        <v/>
      </c>
      <c r="I67" s="24" t="str">
        <f aca="false">IF(coding!$J64="","",coding!$J64)</f>
        <v/>
      </c>
      <c r="J67" s="24" t="str">
        <f aca="false">IF(coding!$O64="","",coding!$O64)</f>
        <v>T1,T2,T4</v>
      </c>
      <c r="K67" s="24" t="str">
        <f aca="false">IF(OR(coding!$I64="",coding!$J64=""),"not yet coded",IF(coding!$I64=coding!$J64,"agree","DISAGREE"))</f>
        <v>not yet coded</v>
      </c>
      <c r="L67" s="26"/>
    </row>
    <row r="68" customFormat="false" ht="15" hidden="false" customHeight="true" outlineLevel="0" collapsed="false">
      <c r="A68" s="24" t="str">
        <f aca="false">coding!$A65</f>
        <v>P064</v>
      </c>
      <c r="B68" s="15" t="str">
        <f aca="false">coding!$B65</f>
        <v>لا</v>
      </c>
      <c r="C68" s="24" t="str">
        <f aca="false">IF(coding!$D65="","",coding!$D65)</f>
        <v/>
      </c>
      <c r="D68" s="24" t="str">
        <f aca="false">IF(coding!$E65="","",coding!$E65)</f>
        <v/>
      </c>
      <c r="E68" s="24" t="str">
        <f aca="false">IF(coding!$M65="","",coding!$M65)</f>
        <v>uncodable</v>
      </c>
      <c r="F68" s="24" t="str">
        <f aca="false">IF(OR(coding!$D65="",coding!$E65=""),"not yet coded",IF(coding!$D65=coding!$E65,"agree","DISAGREE"))</f>
        <v>not yet coded</v>
      </c>
      <c r="G68" s="26"/>
      <c r="H68" s="24" t="str">
        <f aca="false">IF(coding!$I65="","",coding!$I65)</f>
        <v/>
      </c>
      <c r="I68" s="24" t="str">
        <f aca="false">IF(coding!$J65="","",coding!$J65)</f>
        <v/>
      </c>
      <c r="J68" s="24" t="str">
        <f aca="false">IF(coding!$O65="","",coding!$O65)</f>
        <v>T1</v>
      </c>
      <c r="K68" s="24" t="str">
        <f aca="false">IF(OR(coding!$I65="",coding!$J65=""),"not yet coded",IF(coding!$I65=coding!$J65,"agree","DISAGREE"))</f>
        <v>not yet coded</v>
      </c>
      <c r="L68" s="26"/>
    </row>
    <row r="69" customFormat="false" ht="15" hidden="false" customHeight="true" outlineLevel="0" collapsed="false">
      <c r="A69" s="24" t="str">
        <f aca="false">coding!$A66</f>
        <v>P065</v>
      </c>
      <c r="B69" s="15" t="str">
        <f aca="false">coding!$B66</f>
        <v>الاعتمادية</v>
      </c>
      <c r="C69" s="24" t="str">
        <f aca="false">IF(coding!$D66="","",coding!$D66)</f>
        <v/>
      </c>
      <c r="D69" s="24" t="str">
        <f aca="false">IF(coding!$E66="","",coding!$E66)</f>
        <v/>
      </c>
      <c r="E69" s="24" t="str">
        <f aca="false">IF(coding!$M66="","",coding!$M66)</f>
        <v>dependency</v>
      </c>
      <c r="F69" s="24" t="str">
        <f aca="false">IF(OR(coding!$D66="",coding!$E66=""),"not yet coded",IF(coding!$D66=coding!$E66,"agree","DISAGREE"))</f>
        <v>not yet coded</v>
      </c>
      <c r="G69" s="26"/>
      <c r="H69" s="24" t="str">
        <f aca="false">IF(coding!$I66="","",coding!$I66)</f>
        <v/>
      </c>
      <c r="I69" s="24" t="str">
        <f aca="false">IF(coding!$J66="","",coding!$J66)</f>
        <v/>
      </c>
      <c r="J69" s="24" t="str">
        <f aca="false">IF(coding!$O66="","",coding!$O66)</f>
        <v>T1,T2</v>
      </c>
      <c r="K69" s="24" t="str">
        <f aca="false">IF(OR(coding!$I66="",coding!$J66=""),"not yet coded",IF(coding!$I66=coding!$J66,"agree","DISAGREE"))</f>
        <v>not yet coded</v>
      </c>
      <c r="L69" s="26"/>
    </row>
    <row r="70" customFormat="false" ht="23.25" hidden="false" customHeight="true" outlineLevel="0" collapsed="false">
      <c r="A70" s="24" t="str">
        <f aca="false">coding!$A67</f>
        <v>P066</v>
      </c>
      <c r="B70" s="15" t="str">
        <f aca="false">coding!$B67</f>
        <v>يعزز من الإبتكار لأن الطالب يعتمد على نفسه في إستخراج المعلومات وقد تترسخ في باله عندما يبحثها بنفسه ويمكن الرجوع إلى المعلومة في أي وقت وحين</v>
      </c>
      <c r="C70" s="24" t="str">
        <f aca="false">IF(coding!$D67="","",coding!$D67)</f>
        <v/>
      </c>
      <c r="D70" s="24" t="str">
        <f aca="false">IF(coding!$E67="","",coding!$E67)</f>
        <v/>
      </c>
      <c r="E70" s="24" t="str">
        <f aca="false">IF(coding!$M67="","",coding!$M67)</f>
        <v>innovation</v>
      </c>
      <c r="F70" s="24" t="str">
        <f aca="false">IF(OR(coding!$D67="",coding!$E67=""),"not yet coded",IF(coding!$D67=coding!$E67,"agree","DISAGREE"))</f>
        <v>not yet coded</v>
      </c>
      <c r="G70" s="26"/>
      <c r="H70" s="24" t="str">
        <f aca="false">IF(coding!$I67="","",coding!$I67)</f>
        <v/>
      </c>
      <c r="I70" s="24" t="str">
        <f aca="false">IF(coding!$J67="","",coding!$J67)</f>
        <v/>
      </c>
      <c r="J70" s="24" t="str">
        <f aca="false">IF(coding!$O67="","",coding!$O67)</f>
        <v>T1</v>
      </c>
      <c r="K70" s="24" t="str">
        <f aca="false">IF(OR(coding!$I67="",coding!$J67=""),"not yet coded",IF(coding!$I67=coding!$J67,"agree","DISAGREE"))</f>
        <v>not yet coded</v>
      </c>
      <c r="L70" s="26"/>
    </row>
    <row r="71" customFormat="false" ht="15" hidden="false" customHeight="true" outlineLevel="0" collapsed="false">
      <c r="A71" s="24" t="str">
        <f aca="false">coding!$A68</f>
        <v>P067</v>
      </c>
      <c r="B71" s="15" t="str">
        <f aca="false">coding!$B68</f>
        <v>الاثنان معا</v>
      </c>
      <c r="C71" s="24" t="str">
        <f aca="false">IF(coding!$D68="","",coding!$D68)</f>
        <v/>
      </c>
      <c r="D71" s="24" t="str">
        <f aca="false">IF(coding!$E68="","",coding!$E68)</f>
        <v/>
      </c>
      <c r="E71" s="24" t="str">
        <f aca="false">IF(coding!$M68="","",coding!$M68)</f>
        <v>conditional</v>
      </c>
      <c r="F71" s="24" t="str">
        <f aca="false">IF(OR(coding!$D68="",coding!$E68=""),"not yet coded",IF(coding!$D68=coding!$E68,"agree","DISAGREE"))</f>
        <v>not yet coded</v>
      </c>
      <c r="G71" s="26"/>
      <c r="H71" s="24" t="str">
        <f aca="false">IF(coding!$I68="","",coding!$I68)</f>
        <v/>
      </c>
      <c r="I71" s="24" t="str">
        <f aca="false">IF(coding!$J68="","",coding!$J68)</f>
        <v/>
      </c>
      <c r="J71" s="24" t="str">
        <f aca="false">IF(coding!$O68="","",coding!$O68)</f>
        <v>T2</v>
      </c>
      <c r="K71" s="24" t="str">
        <f aca="false">IF(OR(coding!$I68="",coding!$J68=""),"not yet coded",IF(coding!$I68=coding!$J68,"agree","DISAGREE"))</f>
        <v>not yet coded</v>
      </c>
      <c r="L71" s="26"/>
    </row>
    <row r="72" customFormat="false" ht="15" hidden="false" customHeight="true" outlineLevel="0" collapsed="false">
      <c r="A72" s="24" t="str">
        <f aca="false">coding!$A69</f>
        <v>P068</v>
      </c>
      <c r="B72" s="15" t="str">
        <f aca="false">coding!$B69</f>
        <v>محايد</v>
      </c>
      <c r="C72" s="24" t="str">
        <f aca="false">IF(coding!$D69="","",coding!$D69)</f>
        <v/>
      </c>
      <c r="D72" s="24" t="str">
        <f aca="false">IF(coding!$E69="","",coding!$E69)</f>
        <v/>
      </c>
      <c r="E72" s="24" t="str">
        <f aca="false">IF(coding!$M69="","",coding!$M69)</f>
        <v>uncodable</v>
      </c>
      <c r="F72" s="24" t="str">
        <f aca="false">IF(OR(coding!$D69="",coding!$E69=""),"not yet coded",IF(coding!$D69=coding!$E69,"agree","DISAGREE"))</f>
        <v>not yet coded</v>
      </c>
      <c r="G72" s="26"/>
      <c r="H72" s="24" t="str">
        <f aca="false">IF(coding!$I69="","",coding!$I69)</f>
        <v/>
      </c>
      <c r="I72" s="24" t="str">
        <f aca="false">IF(coding!$J69="","",coding!$J69)</f>
        <v/>
      </c>
      <c r="J72" s="24" t="str">
        <f aca="false">IF(coding!$O69="","",coding!$O69)</f>
        <v>T1,T3,T4</v>
      </c>
      <c r="K72" s="24" t="str">
        <f aca="false">IF(OR(coding!$I69="",coding!$J69=""),"not yet coded",IF(coding!$I69=coding!$J69,"agree","DISAGREE"))</f>
        <v>not yet coded</v>
      </c>
      <c r="L72" s="26"/>
    </row>
    <row r="73" customFormat="false" ht="15" hidden="false" customHeight="true" outlineLevel="0" collapsed="false">
      <c r="A73" s="24" t="str">
        <f aca="false">coding!$A70</f>
        <v>P069</v>
      </c>
      <c r="B73" s="15" t="str">
        <f aca="false">coding!$B70</f>
        <v>يعزز الابتكار اذا حسن استخدامه</v>
      </c>
      <c r="C73" s="24" t="str">
        <f aca="false">IF(coding!$D70="","",coding!$D70)</f>
        <v/>
      </c>
      <c r="D73" s="24" t="str">
        <f aca="false">IF(coding!$E70="","",coding!$E70)</f>
        <v/>
      </c>
      <c r="E73" s="24" t="str">
        <f aca="false">IF(coding!$M70="","",coding!$M70)</f>
        <v>conditional</v>
      </c>
      <c r="F73" s="24" t="str">
        <f aca="false">IF(OR(coding!$D70="",coding!$E70=""),"not yet coded",IF(coding!$D70=coding!$E70,"agree","DISAGREE"))</f>
        <v>not yet coded</v>
      </c>
      <c r="G73" s="26"/>
      <c r="H73" s="24" t="str">
        <f aca="false">IF(coding!$I70="","",coding!$I70)</f>
        <v/>
      </c>
      <c r="I73" s="24" t="str">
        <f aca="false">IF(coding!$J70="","",coding!$J70)</f>
        <v/>
      </c>
      <c r="J73" s="24" t="str">
        <f aca="false">IF(coding!$O70="","",coding!$O70)</f>
        <v>T2</v>
      </c>
      <c r="K73" s="24" t="str">
        <f aca="false">IF(OR(coding!$I70="",coding!$J70=""),"not yet coded",IF(coding!$I70=coding!$J70,"agree","DISAGREE"))</f>
        <v>not yet coded</v>
      </c>
      <c r="L73" s="26"/>
    </row>
    <row r="74" customFormat="false" ht="15" hidden="false" customHeight="true" outlineLevel="0" collapsed="false">
      <c r="A74" s="24" t="str">
        <f aca="false">coding!$A71</f>
        <v>P070</v>
      </c>
      <c r="B74" s="15" t="str">
        <f aca="false">coding!$B71</f>
        <v>يعزز الابتكار</v>
      </c>
      <c r="C74" s="24" t="str">
        <f aca="false">IF(coding!$D71="","",coding!$D71)</f>
        <v/>
      </c>
      <c r="D74" s="24" t="str">
        <f aca="false">IF(coding!$E71="","",coding!$E71)</f>
        <v/>
      </c>
      <c r="E74" s="24" t="str">
        <f aca="false">IF(coding!$M71="","",coding!$M71)</f>
        <v>innovation</v>
      </c>
      <c r="F74" s="24" t="str">
        <f aca="false">IF(OR(coding!$D71="",coding!$E71=""),"not yet coded",IF(coding!$D71=coding!$E71,"agree","DISAGREE"))</f>
        <v>not yet coded</v>
      </c>
      <c r="G74" s="26"/>
      <c r="H74" s="24" t="str">
        <f aca="false">IF(coding!$I71="","",coding!$I71)</f>
        <v/>
      </c>
      <c r="I74" s="24" t="str">
        <f aca="false">IF(coding!$J71="","",coding!$J71)</f>
        <v/>
      </c>
      <c r="J74" s="24" t="str">
        <f aca="false">IF(coding!$O71="","",coding!$O71)</f>
        <v>T9</v>
      </c>
      <c r="K74" s="24" t="str">
        <f aca="false">IF(OR(coding!$I71="",coding!$J71=""),"not yet coded",IF(coding!$I71=coding!$J71,"agree","DISAGREE"))</f>
        <v>not yet coded</v>
      </c>
      <c r="L74" s="26"/>
    </row>
    <row r="75" customFormat="false" ht="15" hidden="false" customHeight="true" outlineLevel="0" collapsed="false">
      <c r="A75" s="24" t="str">
        <f aca="false">coding!$A72</f>
        <v>P071</v>
      </c>
      <c r="B75" s="15" t="str">
        <f aca="false">coding!$B72</f>
        <v>بالطبع الاعتمادية</v>
      </c>
      <c r="C75" s="24" t="str">
        <f aca="false">IF(coding!$D72="","",coding!$D72)</f>
        <v/>
      </c>
      <c r="D75" s="24" t="str">
        <f aca="false">IF(coding!$E72="","",coding!$E72)</f>
        <v/>
      </c>
      <c r="E75" s="24" t="str">
        <f aca="false">IF(coding!$M72="","",coding!$M72)</f>
        <v>dependency</v>
      </c>
      <c r="F75" s="24" t="str">
        <f aca="false">IF(OR(coding!$D72="",coding!$E72=""),"not yet coded",IF(coding!$D72=coding!$E72,"agree","DISAGREE"))</f>
        <v>not yet coded</v>
      </c>
      <c r="G75" s="26"/>
      <c r="H75" s="24" t="str">
        <f aca="false">IF(coding!$I72="","",coding!$I72)</f>
        <v/>
      </c>
      <c r="I75" s="24" t="str">
        <f aca="false">IF(coding!$J72="","",coding!$J72)</f>
        <v/>
      </c>
      <c r="J75" s="24" t="str">
        <f aca="false">IF(coding!$O72="","",coding!$O72)</f>
        <v>T1</v>
      </c>
      <c r="K75" s="24" t="str">
        <f aca="false">IF(OR(coding!$I72="",coding!$J72=""),"not yet coded",IF(coding!$I72=coding!$J72,"agree","DISAGREE"))</f>
        <v>not yet coded</v>
      </c>
      <c r="L75" s="26"/>
    </row>
    <row r="76" customFormat="false" ht="15" hidden="false" customHeight="true" outlineLevel="0" collapsed="false">
      <c r="A76" s="24" t="str">
        <f aca="false">coding!$A73</f>
        <v>P072</v>
      </c>
      <c r="B76" s="15" t="str">
        <f aca="false">coding!$B73</f>
        <v>يعزز الابتكاريع</v>
      </c>
      <c r="C76" s="24" t="str">
        <f aca="false">IF(coding!$D73="","",coding!$D73)</f>
        <v/>
      </c>
      <c r="D76" s="24" t="str">
        <f aca="false">IF(coding!$E73="","",coding!$E73)</f>
        <v/>
      </c>
      <c r="E76" s="24" t="str">
        <f aca="false">IF(coding!$M73="","",coding!$M73)</f>
        <v>innovation</v>
      </c>
      <c r="F76" s="24" t="str">
        <f aca="false">IF(OR(coding!$D73="",coding!$E73=""),"not yet coded",IF(coding!$D73=coding!$E73,"agree","DISAGREE"))</f>
        <v>not yet coded</v>
      </c>
      <c r="G76" s="26"/>
      <c r="H76" s="24" t="str">
        <f aca="false">IF(coding!$I73="","",coding!$I73)</f>
        <v/>
      </c>
      <c r="I76" s="24" t="str">
        <f aca="false">IF(coding!$J73="","",coding!$J73)</f>
        <v/>
      </c>
      <c r="J76" s="24" t="str">
        <f aca="false">IF(coding!$O73="","",coding!$O73)</f>
        <v>T2</v>
      </c>
      <c r="K76" s="24" t="str">
        <f aca="false">IF(OR(coding!$I73="",coding!$J73=""),"not yet coded",IF(coding!$I73=coding!$J73,"agree","DISAGREE"))</f>
        <v>not yet coded</v>
      </c>
      <c r="L76" s="26"/>
    </row>
    <row r="77" customFormat="false" ht="25.5" hidden="false" customHeight="true" outlineLevel="0" collapsed="false">
      <c r="A77" s="24" t="str">
        <f aca="false">coding!$A74</f>
        <v>P073</v>
      </c>
      <c r="B77" s="15" t="str">
        <f aca="false">coding!$B74</f>
        <v>يعزز الابتكار إذا استُخدم كأداة "مساعدة" للبحث والتحليل، لكنه قد يؤدي للاعتمادية إذا استُخدم كبديل كلي عن التفكير النقدي والجهد الشخصي.</v>
      </c>
      <c r="C77" s="24" t="str">
        <f aca="false">IF(coding!$D74="","",coding!$D74)</f>
        <v/>
      </c>
      <c r="D77" s="24" t="str">
        <f aca="false">IF(coding!$E74="","",coding!$E74)</f>
        <v/>
      </c>
      <c r="E77" s="24" t="str">
        <f aca="false">IF(coding!$M74="","",coding!$M74)</f>
        <v>conditional</v>
      </c>
      <c r="F77" s="24" t="str">
        <f aca="false">IF(OR(coding!$D74="",coding!$E74=""),"not yet coded",IF(coding!$D74=coding!$E74,"agree","DISAGREE"))</f>
        <v>not yet coded</v>
      </c>
      <c r="G77" s="26"/>
      <c r="H77" s="24" t="str">
        <f aca="false">IF(coding!$I74="","",coding!$I74)</f>
        <v/>
      </c>
      <c r="I77" s="24" t="str">
        <f aca="false">IF(coding!$J74="","",coding!$J74)</f>
        <v/>
      </c>
      <c r="J77" s="24" t="str">
        <f aca="false">IF(coding!$O74="","",coding!$O74)</f>
        <v>T1,T2,T3</v>
      </c>
      <c r="K77" s="24" t="str">
        <f aca="false">IF(OR(coding!$I74="",coding!$J74=""),"not yet coded",IF(coding!$I74=coding!$J74,"agree","DISAGREE"))</f>
        <v>not yet coded</v>
      </c>
      <c r="L77" s="26"/>
    </row>
    <row r="78" customFormat="false" ht="23.25" hidden="false" customHeight="true" outlineLevel="0" collapsed="false">
      <c r="A78" s="24" t="str">
        <f aca="false">coding!$A75</f>
        <v>P074</v>
      </c>
      <c r="B78" s="15" t="str">
        <f aca="false">coding!$B75</f>
        <v>يعتمد على كيفية استخدامه في بعض الأحيان يكون استعمالك للذكاء الاصطناعية من الأساس يعتبر إبتكار وفردية</v>
      </c>
      <c r="C78" s="24" t="str">
        <f aca="false">IF(coding!$D75="","",coding!$D75)</f>
        <v/>
      </c>
      <c r="D78" s="24" t="str">
        <f aca="false">IF(coding!$E75="","",coding!$E75)</f>
        <v/>
      </c>
      <c r="E78" s="24" t="str">
        <f aca="false">IF(coding!$M75="","",coding!$M75)</f>
        <v>conditional</v>
      </c>
      <c r="F78" s="24" t="str">
        <f aca="false">IF(OR(coding!$D75="",coding!$E75=""),"not yet coded",IF(coding!$D75=coding!$E75,"agree","DISAGREE"))</f>
        <v>not yet coded</v>
      </c>
      <c r="G78" s="26"/>
      <c r="H78" s="24" t="str">
        <f aca="false">IF(coding!$I75="","",coding!$I75)</f>
        <v/>
      </c>
      <c r="I78" s="24" t="str">
        <f aca="false">IF(coding!$J75="","",coding!$J75)</f>
        <v/>
      </c>
      <c r="J78" s="24" t="str">
        <f aca="false">IF(coding!$O75="","",coding!$O75)</f>
        <v>T1</v>
      </c>
      <c r="K78" s="24" t="str">
        <f aca="false">IF(OR(coding!$I75="",coding!$J75=""),"not yet coded",IF(coding!$I75=coding!$J75,"agree","DISAGREE"))</f>
        <v>not yet coded</v>
      </c>
      <c r="L78" s="26"/>
    </row>
    <row r="79" customFormat="false" ht="23.25" hidden="false" customHeight="true" outlineLevel="0" collapsed="false">
      <c r="A79" s="24" t="str">
        <f aca="false">coding!$A76</f>
        <v>P075</v>
      </c>
      <c r="B79" s="15" t="str">
        <f aca="false">coding!$B76</f>
        <v>إذا اعتمد الإنسان عليه بشكل كامل بدون تفكير فقد يضعف مهاراته العقلية وسيكون أقل القدرة على الإبداع الابتكار</v>
      </c>
      <c r="C79" s="24" t="str">
        <f aca="false">IF(coding!$D76="","",coding!$D76)</f>
        <v/>
      </c>
      <c r="D79" s="24" t="str">
        <f aca="false">IF(coding!$E76="","",coding!$E76)</f>
        <v/>
      </c>
      <c r="E79" s="24" t="str">
        <f aca="false">IF(coding!$M76="","",coding!$M76)</f>
        <v>conditional</v>
      </c>
      <c r="F79" s="24" t="str">
        <f aca="false">IF(OR(coding!$D76="",coding!$E76=""),"not yet coded",IF(coding!$D76=coding!$E76,"agree","DISAGREE"))</f>
        <v>not yet coded</v>
      </c>
      <c r="G79" s="26"/>
      <c r="H79" s="24" t="str">
        <f aca="false">IF(coding!$I76="","",coding!$I76)</f>
        <v/>
      </c>
      <c r="I79" s="24" t="str">
        <f aca="false">IF(coding!$J76="","",coding!$J76)</f>
        <v/>
      </c>
      <c r="J79" s="24" t="str">
        <f aca="false">IF(coding!$O76="","",coding!$O76)</f>
        <v>T1,T2</v>
      </c>
      <c r="K79" s="24" t="str">
        <f aca="false">IF(OR(coding!$I76="",coding!$J76=""),"not yet coded",IF(coding!$I76=coding!$J76,"agree","DISAGREE"))</f>
        <v>not yet coded</v>
      </c>
      <c r="L79" s="26"/>
    </row>
    <row r="80" customFormat="false" ht="15" hidden="false" customHeight="true" outlineLevel="0" collapsed="false">
      <c r="A80" s="24" t="str">
        <f aca="false">coding!$A77</f>
        <v>P076</v>
      </c>
      <c r="B80" s="15" t="str">
        <f aca="false">coding!$B77</f>
        <v>لا اعلم</v>
      </c>
      <c r="C80" s="24" t="str">
        <f aca="false">IF(coding!$D77="","",coding!$D77)</f>
        <v/>
      </c>
      <c r="D80" s="24" t="str">
        <f aca="false">IF(coding!$E77="","",coding!$E77)</f>
        <v/>
      </c>
      <c r="E80" s="24" t="str">
        <f aca="false">IF(coding!$M77="","",coding!$M77)</f>
        <v>uncodable</v>
      </c>
      <c r="F80" s="24" t="str">
        <f aca="false">IF(OR(coding!$D77="",coding!$E77=""),"not yet coded",IF(coding!$D77=coding!$E77,"agree","DISAGREE"))</f>
        <v>not yet coded</v>
      </c>
      <c r="G80" s="26"/>
      <c r="H80" s="24" t="str">
        <f aca="false">IF(coding!$I77="","",coding!$I77)</f>
        <v/>
      </c>
      <c r="I80" s="24" t="str">
        <f aca="false">IF(coding!$J77="","",coding!$J77)</f>
        <v/>
      </c>
      <c r="J80" s="24" t="str">
        <f aca="false">IF(coding!$O77="","",coding!$O77)</f>
        <v>T1</v>
      </c>
      <c r="K80" s="24" t="str">
        <f aca="false">IF(OR(coding!$I77="",coding!$J77=""),"not yet coded",IF(coding!$I77=coding!$J77,"agree","DISAGREE"))</f>
        <v>not yet coded</v>
      </c>
      <c r="L80" s="26"/>
    </row>
    <row r="81" customFormat="false" ht="15" hidden="false" customHeight="true" outlineLevel="0" collapsed="false">
      <c r="A81" s="24" t="str">
        <f aca="false">coding!$A78</f>
        <v>P077</v>
      </c>
      <c r="B81" s="15" t="str">
        <f aca="false">coding!$B78</f>
        <v>يعزز الابتكار</v>
      </c>
      <c r="C81" s="24" t="str">
        <f aca="false">IF(coding!$D78="","",coding!$D78)</f>
        <v/>
      </c>
      <c r="D81" s="24" t="str">
        <f aca="false">IF(coding!$E78="","",coding!$E78)</f>
        <v/>
      </c>
      <c r="E81" s="24" t="str">
        <f aca="false">IF(coding!$M78="","",coding!$M78)</f>
        <v>innovation</v>
      </c>
      <c r="F81" s="24" t="str">
        <f aca="false">IF(OR(coding!$D78="",coding!$E78=""),"not yet coded",IF(coding!$D78=coding!$E78,"agree","DISAGREE"))</f>
        <v>not yet coded</v>
      </c>
      <c r="G81" s="26"/>
      <c r="H81" s="24" t="str">
        <f aca="false">IF(coding!$I78="","",coding!$I78)</f>
        <v/>
      </c>
      <c r="I81" s="24" t="str">
        <f aca="false">IF(coding!$J78="","",coding!$J78)</f>
        <v/>
      </c>
      <c r="J81" s="24" t="str">
        <f aca="false">IF(coding!$O78="","",coding!$O78)</f>
        <v>T1</v>
      </c>
      <c r="K81" s="24" t="str">
        <f aca="false">IF(OR(coding!$I78="",coding!$J78=""),"not yet coded",IF(coding!$I78=coding!$J78,"agree","DISAGREE"))</f>
        <v>not yet coded</v>
      </c>
      <c r="L81" s="26"/>
    </row>
    <row r="82" customFormat="false" ht="15" hidden="false" customHeight="true" outlineLevel="0" collapsed="false">
      <c r="A82" s="24" t="str">
        <f aca="false">coding!$A79</f>
        <v>P078</v>
      </c>
      <c r="B82" s="15" t="str">
        <f aca="false">coding!$B79</f>
        <v>كلاهما ، الأمر معتمد على طريقة الاستخدام.</v>
      </c>
      <c r="C82" s="24" t="str">
        <f aca="false">IF(coding!$D79="","",coding!$D79)</f>
        <v/>
      </c>
      <c r="D82" s="24" t="str">
        <f aca="false">IF(coding!$E79="","",coding!$E79)</f>
        <v/>
      </c>
      <c r="E82" s="24" t="str">
        <f aca="false">IF(coding!$M79="","",coding!$M79)</f>
        <v>conditional</v>
      </c>
      <c r="F82" s="24" t="str">
        <f aca="false">IF(OR(coding!$D79="",coding!$E79=""),"not yet coded",IF(coding!$D79=coding!$E79,"agree","DISAGREE"))</f>
        <v>not yet coded</v>
      </c>
      <c r="G82" s="26"/>
      <c r="H82" s="24" t="str">
        <f aca="false">IF(coding!$I79="","",coding!$I79)</f>
        <v/>
      </c>
      <c r="I82" s="24" t="str">
        <f aca="false">IF(coding!$J79="","",coding!$J79)</f>
        <v/>
      </c>
      <c r="J82" s="24" t="str">
        <f aca="false">IF(coding!$O79="","",coding!$O79)</f>
        <v>T1,T2,T4</v>
      </c>
      <c r="K82" s="24" t="str">
        <f aca="false">IF(OR(coding!$I79="",coding!$J79=""),"not yet coded",IF(coding!$I79=coding!$J79,"agree","DISAGREE"))</f>
        <v>not yet coded</v>
      </c>
      <c r="L82" s="26"/>
    </row>
    <row r="83" customFormat="false" ht="48" hidden="false" customHeight="true" outlineLevel="0" collapsed="false">
      <c r="A83" s="24" t="str">
        <f aca="false">coding!$A80</f>
        <v>P079</v>
      </c>
      <c r="B83" s="15" t="str">
        <f aca="false">coding!$B80</f>
        <v>على حسب الفرد، يمكن أن يتشاركا العلمية الإبداعية، فالآلة والذكاء الاصطناعي وحده لا يجلبُ إبداعًا، إنما هو يحلل ويخطط ويقترح أسرعن لكن الجانب الإبداعي والتفكيري يكون عنج الإنسان، وإذا استخدمه الإنسان بطريقة صحيحة يمكن أن يصل لدرجة كبيرة من الإتقان والإبتكار والإبداع.</v>
      </c>
      <c r="C83" s="24" t="str">
        <f aca="false">IF(coding!$D80="","",coding!$D80)</f>
        <v/>
      </c>
      <c r="D83" s="24" t="str">
        <f aca="false">IF(coding!$E80="","",coding!$E80)</f>
        <v/>
      </c>
      <c r="E83" s="24" t="str">
        <f aca="false">IF(coding!$M80="","",coding!$M80)</f>
        <v>conditional</v>
      </c>
      <c r="F83" s="24" t="str">
        <f aca="false">IF(OR(coding!$D80="",coding!$E80=""),"not yet coded",IF(coding!$D80=coding!$E80,"agree","DISAGREE"))</f>
        <v>not yet coded</v>
      </c>
      <c r="G83" s="26"/>
      <c r="H83" s="24" t="str">
        <f aca="false">IF(coding!$I80="","",coding!$I80)</f>
        <v/>
      </c>
      <c r="I83" s="24" t="str">
        <f aca="false">IF(coding!$J80="","",coding!$J80)</f>
        <v/>
      </c>
      <c r="J83" s="24" t="str">
        <f aca="false">IF(coding!$O80="","",coding!$O80)</f>
        <v>T1,T2,T8</v>
      </c>
      <c r="K83" s="24" t="str">
        <f aca="false">IF(OR(coding!$I80="",coding!$J80=""),"not yet coded",IF(coding!$I80=coding!$J80,"agree","DISAGREE"))</f>
        <v>not yet coded</v>
      </c>
      <c r="L83" s="26"/>
    </row>
    <row r="84" customFormat="false" ht="15" hidden="false" customHeight="true" outlineLevel="0" collapsed="false">
      <c r="A84" s="24" t="str">
        <f aca="false">coding!$A81</f>
        <v>P080</v>
      </c>
      <c r="B84" s="15" t="str">
        <f aca="false">coding!$B81</f>
        <v>سلاح ذو حدين</v>
      </c>
      <c r="C84" s="24" t="str">
        <f aca="false">IF(coding!$D81="","",coding!$D81)</f>
        <v/>
      </c>
      <c r="D84" s="24" t="str">
        <f aca="false">IF(coding!$E81="","",coding!$E81)</f>
        <v/>
      </c>
      <c r="E84" s="24" t="str">
        <f aca="false">IF(coding!$M81="","",coding!$M81)</f>
        <v>conditional</v>
      </c>
      <c r="F84" s="24" t="str">
        <f aca="false">IF(OR(coding!$D81="",coding!$E81=""),"not yet coded",IF(coding!$D81=coding!$E81,"agree","DISAGREE"))</f>
        <v>not yet coded</v>
      </c>
      <c r="G84" s="26"/>
      <c r="H84" s="24" t="str">
        <f aca="false">IF(coding!$I81="","",coding!$I81)</f>
        <v/>
      </c>
      <c r="I84" s="24" t="str">
        <f aca="false">IF(coding!$J81="","",coding!$J81)</f>
        <v/>
      </c>
      <c r="J84" s="24" t="str">
        <f aca="false">IF(coding!$O81="","",coding!$O81)</f>
        <v>T1,T3</v>
      </c>
      <c r="K84" s="24" t="str">
        <f aca="false">IF(OR(coding!$I81="",coding!$J81=""),"not yet coded",IF(coding!$I81=coding!$J81,"agree","DISAGREE"))</f>
        <v>not yet coded</v>
      </c>
      <c r="L84" s="26"/>
    </row>
    <row r="85" customFormat="false" ht="15" hidden="false" customHeight="true" outlineLevel="0" collapsed="false">
      <c r="A85" s="24" t="str">
        <f aca="false">coding!$A82</f>
        <v>P081</v>
      </c>
      <c r="B85" s="15" t="str">
        <f aca="false">coding!$B82</f>
        <v>يعزز الابتكار والفردية</v>
      </c>
      <c r="C85" s="24" t="str">
        <f aca="false">IF(coding!$D82="","",coding!$D82)</f>
        <v/>
      </c>
      <c r="D85" s="24" t="str">
        <f aca="false">IF(coding!$E82="","",coding!$E82)</f>
        <v/>
      </c>
      <c r="E85" s="24" t="str">
        <f aca="false">IF(coding!$M82="","",coding!$M82)</f>
        <v>innovation</v>
      </c>
      <c r="F85" s="24" t="str">
        <f aca="false">IF(OR(coding!$D82="",coding!$E82=""),"not yet coded",IF(coding!$D82=coding!$E82,"agree","DISAGREE"))</f>
        <v>not yet coded</v>
      </c>
      <c r="G85" s="26"/>
      <c r="H85" s="24" t="str">
        <f aca="false">IF(coding!$I82="","",coding!$I82)</f>
        <v/>
      </c>
      <c r="I85" s="24" t="str">
        <f aca="false">IF(coding!$J82="","",coding!$J82)</f>
        <v/>
      </c>
      <c r="J85" s="24" t="str">
        <f aca="false">IF(coding!$O82="","",coding!$O82)</f>
        <v>T1,T3</v>
      </c>
      <c r="K85" s="24" t="str">
        <f aca="false">IF(OR(coding!$I82="",coding!$J82=""),"not yet coded",IF(coding!$I82=coding!$J82,"agree","DISAGREE"))</f>
        <v>not yet coded</v>
      </c>
      <c r="L85" s="26"/>
    </row>
    <row r="86" customFormat="false" ht="15" hidden="false" customHeight="true" outlineLevel="0" collapsed="false">
      <c r="A86" s="24" t="str">
        <f aca="false">coding!$A83</f>
        <v>P082</v>
      </c>
      <c r="B86" s="15" t="str">
        <f aca="false">coding!$B83</f>
        <v>يعتمد على الطالب.</v>
      </c>
      <c r="C86" s="24" t="str">
        <f aca="false">IF(coding!$D83="","",coding!$D83)</f>
        <v/>
      </c>
      <c r="D86" s="24" t="str">
        <f aca="false">IF(coding!$E83="","",coding!$E83)</f>
        <v/>
      </c>
      <c r="E86" s="24" t="str">
        <f aca="false">IF(coding!$M83="","",coding!$M83)</f>
        <v>conditional</v>
      </c>
      <c r="F86" s="24" t="str">
        <f aca="false">IF(OR(coding!$D83="",coding!$E83=""),"not yet coded",IF(coding!$D83=coding!$E83,"agree","DISAGREE"))</f>
        <v>not yet coded</v>
      </c>
      <c r="G86" s="26"/>
      <c r="H86" s="24" t="str">
        <f aca="false">IF(coding!$I83="","",coding!$I83)</f>
        <v/>
      </c>
      <c r="I86" s="24" t="str">
        <f aca="false">IF(coding!$J83="","",coding!$J83)</f>
        <v/>
      </c>
      <c r="J86" s="24" t="str">
        <f aca="false">IF(coding!$O83="","",coding!$O83)</f>
        <v>T5</v>
      </c>
      <c r="K86" s="24" t="str">
        <f aca="false">IF(OR(coding!$I83="",coding!$J83=""),"not yet coded",IF(coding!$I83=coding!$J83,"agree","DISAGREE"))</f>
        <v>not yet coded</v>
      </c>
      <c r="L86" s="26"/>
    </row>
    <row r="87" customFormat="false" ht="15" hidden="false" customHeight="true" outlineLevel="0" collapsed="false">
      <c r="A87" s="24" t="str">
        <f aca="false">coding!$A84</f>
        <v>P083</v>
      </c>
      <c r="B87" s="15" t="str">
        <f aca="false">coding!$B84</f>
        <v>يعزز الابتكار والفردية</v>
      </c>
      <c r="C87" s="24" t="str">
        <f aca="false">IF(coding!$D84="","",coding!$D84)</f>
        <v/>
      </c>
      <c r="D87" s="24" t="str">
        <f aca="false">IF(coding!$E84="","",coding!$E84)</f>
        <v/>
      </c>
      <c r="E87" s="24" t="str">
        <f aca="false">IF(coding!$M84="","",coding!$M84)</f>
        <v>innovation</v>
      </c>
      <c r="F87" s="24" t="str">
        <f aca="false">IF(OR(coding!$D84="",coding!$E84=""),"not yet coded",IF(coding!$D84=coding!$E84,"agree","DISAGREE"))</f>
        <v>not yet coded</v>
      </c>
      <c r="G87" s="26"/>
      <c r="H87" s="24" t="str">
        <f aca="false">IF(coding!$I84="","",coding!$I84)</f>
        <v/>
      </c>
      <c r="I87" s="24" t="str">
        <f aca="false">IF(coding!$J84="","",coding!$J84)</f>
        <v/>
      </c>
      <c r="J87" s="24" t="str">
        <f aca="false">IF(coding!$O84="","",coding!$O84)</f>
        <v>T8</v>
      </c>
      <c r="K87" s="24" t="str">
        <f aca="false">IF(OR(coding!$I84="",coding!$J84=""),"not yet coded",IF(coding!$I84=coding!$J84,"agree","DISAGREE"))</f>
        <v>not yet coded</v>
      </c>
      <c r="L87" s="26"/>
    </row>
    <row r="88" customFormat="false" ht="23.25" hidden="false" customHeight="true" outlineLevel="0" collapsed="false">
      <c r="A88" s="24" t="str">
        <f aca="false">coding!$A85</f>
        <v>P084</v>
      </c>
      <c r="B88" s="15" t="str">
        <f aca="false">coding!$B85</f>
        <v>يختلف ذلك بين طالب وآخر هناك من يتّكل عليهِ في صغيرهِ وكبيرهِ وهناك من يجعله أداةً للإبداع واكتساب المهارات</v>
      </c>
      <c r="C88" s="24" t="str">
        <f aca="false">IF(coding!$D85="","",coding!$D85)</f>
        <v/>
      </c>
      <c r="D88" s="24" t="str">
        <f aca="false">IF(coding!$E85="","",coding!$E85)</f>
        <v/>
      </c>
      <c r="E88" s="24" t="str">
        <f aca="false">IF(coding!$M85="","",coding!$M85)</f>
        <v>conditional</v>
      </c>
      <c r="F88" s="24" t="str">
        <f aca="false">IF(OR(coding!$D85="",coding!$E85=""),"not yet coded",IF(coding!$D85=coding!$E85,"agree","DISAGREE"))</f>
        <v>not yet coded</v>
      </c>
      <c r="G88" s="26"/>
      <c r="H88" s="24" t="str">
        <f aca="false">IF(coding!$I85="","",coding!$I85)</f>
        <v/>
      </c>
      <c r="I88" s="24" t="str">
        <f aca="false">IF(coding!$J85="","",coding!$J85)</f>
        <v/>
      </c>
      <c r="J88" s="24" t="str">
        <f aca="false">IF(coding!$O85="","",coding!$O85)</f>
        <v>T1,T2</v>
      </c>
      <c r="K88" s="24" t="str">
        <f aca="false">IF(OR(coding!$I85="",coding!$J85=""),"not yet coded",IF(coding!$I85=coding!$J85,"agree","DISAGREE"))</f>
        <v>not yet coded</v>
      </c>
      <c r="L88" s="26"/>
    </row>
    <row r="89" customFormat="false" ht="15" hidden="false" customHeight="true" outlineLevel="0" collapsed="false">
      <c r="A89" s="24" t="str">
        <f aca="false">coding!$A86</f>
        <v>P085</v>
      </c>
      <c r="B89" s="15" t="str">
        <f aca="false">coding!$B86</f>
        <v>الإعتمادية</v>
      </c>
      <c r="C89" s="24" t="str">
        <f aca="false">IF(coding!$D86="","",coding!$D86)</f>
        <v/>
      </c>
      <c r="D89" s="24" t="str">
        <f aca="false">IF(coding!$E86="","",coding!$E86)</f>
        <v/>
      </c>
      <c r="E89" s="24" t="str">
        <f aca="false">IF(coding!$M86="","",coding!$M86)</f>
        <v>dependency</v>
      </c>
      <c r="F89" s="24" t="str">
        <f aca="false">IF(OR(coding!$D86="",coding!$E86=""),"not yet coded",IF(coding!$D86=coding!$E86,"agree","DISAGREE"))</f>
        <v>not yet coded</v>
      </c>
      <c r="G89" s="26"/>
      <c r="H89" s="24" t="str">
        <f aca="false">IF(coding!$I86="","",coding!$I86)</f>
        <v/>
      </c>
      <c r="I89" s="24" t="str">
        <f aca="false">IF(coding!$J86="","",coding!$J86)</f>
        <v/>
      </c>
      <c r="J89" s="24" t="str">
        <f aca="false">IF(coding!$O86="","",coding!$O86)</f>
        <v>T1</v>
      </c>
      <c r="K89" s="24" t="str">
        <f aca="false">IF(OR(coding!$I86="",coding!$J86=""),"not yet coded",IF(coding!$I86=coding!$J86,"agree","DISAGREE"))</f>
        <v>not yet coded</v>
      </c>
      <c r="L89" s="26"/>
    </row>
    <row r="90" customFormat="false" ht="15" hidden="false" customHeight="true" outlineLevel="0" collapsed="false">
      <c r="A90" s="24" t="str">
        <f aca="false">coding!$A87</f>
        <v>P086</v>
      </c>
      <c r="B90" s="15" t="str">
        <f aca="false">coding!$B87</f>
        <v>يعزز الابتكار والفردية</v>
      </c>
      <c r="C90" s="24" t="str">
        <f aca="false">IF(coding!$D87="","",coding!$D87)</f>
        <v/>
      </c>
      <c r="D90" s="24" t="str">
        <f aca="false">IF(coding!$E87="","",coding!$E87)</f>
        <v/>
      </c>
      <c r="E90" s="24" t="str">
        <f aca="false">IF(coding!$M87="","",coding!$M87)</f>
        <v>innovation</v>
      </c>
      <c r="F90" s="24" t="str">
        <f aca="false">IF(OR(coding!$D87="",coding!$E87=""),"not yet coded",IF(coding!$D87=coding!$E87,"agree","DISAGREE"))</f>
        <v>not yet coded</v>
      </c>
      <c r="G90" s="26"/>
      <c r="H90" s="24" t="str">
        <f aca="false">IF(coding!$I87="","",coding!$I87)</f>
        <v/>
      </c>
      <c r="I90" s="24" t="str">
        <f aca="false">IF(coding!$J87="","",coding!$J87)</f>
        <v/>
      </c>
      <c r="J90" s="24" t="str">
        <f aca="false">IF(coding!$O87="","",coding!$O87)</f>
        <v>T1,T2</v>
      </c>
      <c r="K90" s="24" t="str">
        <f aca="false">IF(OR(coding!$I87="",coding!$J87=""),"not yet coded",IF(coding!$I87=coding!$J87,"agree","DISAGREE"))</f>
        <v>not yet coded</v>
      </c>
      <c r="L90" s="26"/>
    </row>
    <row r="91" customFormat="false" ht="15" hidden="false" customHeight="true" outlineLevel="0" collapsed="false">
      <c r="A91" s="24" t="str">
        <f aca="false">coding!$A88</f>
        <v>P087</v>
      </c>
      <c r="B91" s="15" t="str">
        <f aca="false">coding!$B88</f>
        <v>أرى أنه يعتمد على كيفية الإستخدام</v>
      </c>
      <c r="C91" s="24" t="str">
        <f aca="false">IF(coding!$D88="","",coding!$D88)</f>
        <v/>
      </c>
      <c r="D91" s="24" t="str">
        <f aca="false">IF(coding!$E88="","",coding!$E88)</f>
        <v/>
      </c>
      <c r="E91" s="24" t="str">
        <f aca="false">IF(coding!$M88="","",coding!$M88)</f>
        <v>conditional</v>
      </c>
      <c r="F91" s="24" t="str">
        <f aca="false">IF(OR(coding!$D88="",coding!$E88=""),"not yet coded",IF(coding!$D88=coding!$E88,"agree","DISAGREE"))</f>
        <v>not yet coded</v>
      </c>
      <c r="G91" s="26"/>
      <c r="H91" s="24" t="str">
        <f aca="false">IF(coding!$I88="","",coding!$I88)</f>
        <v/>
      </c>
      <c r="I91" s="24" t="str">
        <f aca="false">IF(coding!$J88="","",coding!$J88)</f>
        <v/>
      </c>
      <c r="J91" s="24" t="str">
        <f aca="false">IF(coding!$O88="","",coding!$O88)</f>
        <v>T1,T2,T4</v>
      </c>
      <c r="K91" s="24" t="str">
        <f aca="false">IF(OR(coding!$I88="",coding!$J88=""),"not yet coded",IF(coding!$I88=coding!$J88,"agree","DISAGREE"))</f>
        <v>not yet coded</v>
      </c>
      <c r="L91" s="26"/>
    </row>
    <row r="92" customFormat="false" ht="15" hidden="false" customHeight="true" outlineLevel="0" collapsed="false">
      <c r="A92" s="24" t="str">
        <f aca="false">coding!$A89</f>
        <v>P088</v>
      </c>
      <c r="B92" s="15" t="str">
        <f aca="false">coding!$B89</f>
        <v>الاعتمادية طبعا</v>
      </c>
      <c r="C92" s="24" t="str">
        <f aca="false">IF(coding!$D89="","",coding!$D89)</f>
        <v/>
      </c>
      <c r="D92" s="24" t="str">
        <f aca="false">IF(coding!$E89="","",coding!$E89)</f>
        <v/>
      </c>
      <c r="E92" s="24" t="str">
        <f aca="false">IF(coding!$M89="","",coding!$M89)</f>
        <v>dependency</v>
      </c>
      <c r="F92" s="24" t="str">
        <f aca="false">IF(OR(coding!$D89="",coding!$E89=""),"not yet coded",IF(coding!$D89=coding!$E89,"agree","DISAGREE"))</f>
        <v>not yet coded</v>
      </c>
      <c r="G92" s="26"/>
      <c r="H92" s="24" t="str">
        <f aca="false">IF(coding!$I89="","",coding!$I89)</f>
        <v/>
      </c>
      <c r="I92" s="24" t="str">
        <f aca="false">IF(coding!$J89="","",coding!$J89)</f>
        <v/>
      </c>
      <c r="J92" s="24" t="str">
        <f aca="false">IF(coding!$O89="","",coding!$O89)</f>
        <v>T5</v>
      </c>
      <c r="K92" s="24" t="str">
        <f aca="false">IF(OR(coding!$I89="",coding!$J89=""),"not yet coded",IF(coding!$I89=coding!$J89,"agree","DISAGREE"))</f>
        <v>not yet coded</v>
      </c>
      <c r="L92" s="26"/>
    </row>
    <row r="93" customFormat="false" ht="15" hidden="false" customHeight="true" outlineLevel="0" collapsed="false">
      <c r="A93" s="24" t="str">
        <f aca="false">coding!$A90</f>
        <v>P089</v>
      </c>
      <c r="B93" s="15" t="str">
        <f aca="false">coding!$B90</f>
        <v>الاعتمادية</v>
      </c>
      <c r="C93" s="24" t="str">
        <f aca="false">IF(coding!$D90="","",coding!$D90)</f>
        <v/>
      </c>
      <c r="D93" s="24" t="str">
        <f aca="false">IF(coding!$E90="","",coding!$E90)</f>
        <v/>
      </c>
      <c r="E93" s="24" t="str">
        <f aca="false">IF(coding!$M90="","",coding!$M90)</f>
        <v>dependency</v>
      </c>
      <c r="F93" s="24" t="str">
        <f aca="false">IF(OR(coding!$D90="",coding!$E90=""),"not yet coded",IF(coding!$D90=coding!$E90,"agree","DISAGREE"))</f>
        <v>not yet coded</v>
      </c>
      <c r="G93" s="26"/>
      <c r="H93" s="24" t="str">
        <f aca="false">IF(coding!$I90="","",coding!$I90)</f>
        <v/>
      </c>
      <c r="I93" s="24" t="str">
        <f aca="false">IF(coding!$J90="","",coding!$J90)</f>
        <v/>
      </c>
      <c r="J93" s="24" t="str">
        <f aca="false">IF(coding!$O90="","",coding!$O90)</f>
        <v>T1,T2</v>
      </c>
      <c r="K93" s="24" t="str">
        <f aca="false">IF(OR(coding!$I90="",coding!$J90=""),"not yet coded",IF(coding!$I90=coding!$J90,"agree","DISAGREE"))</f>
        <v>not yet coded</v>
      </c>
      <c r="L93" s="26"/>
    </row>
    <row r="94" customFormat="false" ht="15" hidden="false" customHeight="true" outlineLevel="0" collapsed="false">
      <c r="A94" s="24" t="str">
        <f aca="false">coding!$A91</f>
        <v>P090</v>
      </c>
      <c r="B94" s="15" t="str">
        <f aca="false">coding!$B91</f>
        <v>يعزز الابتكار</v>
      </c>
      <c r="C94" s="24" t="str">
        <f aca="false">IF(coding!$D91="","",coding!$D91)</f>
        <v/>
      </c>
      <c r="D94" s="24" t="str">
        <f aca="false">IF(coding!$E91="","",coding!$E91)</f>
        <v/>
      </c>
      <c r="E94" s="24" t="str">
        <f aca="false">IF(coding!$M91="","",coding!$M91)</f>
        <v>innovation</v>
      </c>
      <c r="F94" s="24" t="str">
        <f aca="false">IF(OR(coding!$D91="",coding!$E91=""),"not yet coded",IF(coding!$D91=coding!$E91,"agree","DISAGREE"))</f>
        <v>not yet coded</v>
      </c>
      <c r="G94" s="26"/>
      <c r="H94" s="24" t="str">
        <f aca="false">IF(coding!$I91="","",coding!$I91)</f>
        <v/>
      </c>
      <c r="I94" s="24" t="str">
        <f aca="false">IF(coding!$J91="","",coding!$J91)</f>
        <v/>
      </c>
      <c r="J94" s="24" t="str">
        <f aca="false">IF(coding!$O91="","",coding!$O91)</f>
        <v>T1,T2</v>
      </c>
      <c r="K94" s="24" t="str">
        <f aca="false">IF(OR(coding!$I91="",coding!$J91=""),"not yet coded",IF(coding!$I91=coding!$J91,"agree","DISAGREE"))</f>
        <v>not yet coded</v>
      </c>
      <c r="L94" s="26"/>
    </row>
    <row r="95" customFormat="false" ht="15" hidden="false" customHeight="true" outlineLevel="0" collapsed="false">
      <c r="A95" s="24" t="str">
        <f aca="false">coding!$A92</f>
        <v>P091</v>
      </c>
      <c r="B95" s="15" t="str">
        <f aca="false">coding!$B92</f>
        <v>يعزز الابتكارية والفردية في ضوء المسموح...</v>
      </c>
      <c r="C95" s="24" t="str">
        <f aca="false">IF(coding!$D92="","",coding!$D92)</f>
        <v/>
      </c>
      <c r="D95" s="24" t="str">
        <f aca="false">IF(coding!$E92="","",coding!$E92)</f>
        <v/>
      </c>
      <c r="E95" s="24" t="str">
        <f aca="false">IF(coding!$M92="","",coding!$M92)</f>
        <v>innovation</v>
      </c>
      <c r="F95" s="24" t="str">
        <f aca="false">IF(OR(coding!$D92="",coding!$E92=""),"not yet coded",IF(coding!$D92=coding!$E92,"agree","DISAGREE"))</f>
        <v>not yet coded</v>
      </c>
      <c r="G95" s="26"/>
      <c r="H95" s="24" t="str">
        <f aca="false">IF(coding!$I92="","",coding!$I92)</f>
        <v/>
      </c>
      <c r="I95" s="24" t="str">
        <f aca="false">IF(coding!$J92="","",coding!$J92)</f>
        <v/>
      </c>
      <c r="J95" s="24" t="str">
        <f aca="false">IF(coding!$O92="","",coding!$O92)</f>
        <v>T1,T3</v>
      </c>
      <c r="K95" s="24" t="str">
        <f aca="false">IF(OR(coding!$I92="",coding!$J92=""),"not yet coded",IF(coding!$I92=coding!$J92,"agree","DISAGREE"))</f>
        <v>not yet coded</v>
      </c>
      <c r="L95" s="26"/>
    </row>
    <row r="96" customFormat="false" ht="15" hidden="false" customHeight="true" outlineLevel="0" collapsed="false">
      <c r="A96" s="24" t="str">
        <f aca="false">coding!$A93</f>
        <v>P092</v>
      </c>
      <c r="B96" s="15" t="str">
        <f aca="false">coding!$B93</f>
        <v>يعزز الابتكار</v>
      </c>
      <c r="C96" s="24" t="str">
        <f aca="false">IF(coding!$D93="","",coding!$D93)</f>
        <v/>
      </c>
      <c r="D96" s="24" t="str">
        <f aca="false">IF(coding!$E93="","",coding!$E93)</f>
        <v/>
      </c>
      <c r="E96" s="24" t="str">
        <f aca="false">IF(coding!$M93="","",coding!$M93)</f>
        <v>innovation</v>
      </c>
      <c r="F96" s="24" t="str">
        <f aca="false">IF(OR(coding!$D93="",coding!$E93=""),"not yet coded",IF(coding!$D93=coding!$E93,"agree","DISAGREE"))</f>
        <v>not yet coded</v>
      </c>
      <c r="G96" s="26"/>
      <c r="H96" s="24" t="str">
        <f aca="false">IF(coding!$I93="","",coding!$I93)</f>
        <v/>
      </c>
      <c r="I96" s="24" t="str">
        <f aca="false">IF(coding!$J93="","",coding!$J93)</f>
        <v/>
      </c>
      <c r="J96" s="24" t="str">
        <f aca="false">IF(coding!$O93="","",coding!$O93)</f>
        <v>T2</v>
      </c>
      <c r="K96" s="24" t="str">
        <f aca="false">IF(OR(coding!$I93="",coding!$J93=""),"not yet coded",IF(coding!$I93=coding!$J93,"agree","DISAGREE"))</f>
        <v>not yet coded</v>
      </c>
      <c r="L96" s="26"/>
    </row>
    <row r="97" customFormat="false" ht="15" hidden="false" customHeight="true" outlineLevel="0" collapsed="false">
      <c r="A97" s="24" t="str">
        <f aca="false">coding!$A94</f>
        <v>P093</v>
      </c>
      <c r="B97" s="15" t="str">
        <f aca="false">coding!$B94</f>
        <v>الاثنان معًا يعتمد على الفرد نفسه</v>
      </c>
      <c r="C97" s="24" t="str">
        <f aca="false">IF(coding!$D94="","",coding!$D94)</f>
        <v/>
      </c>
      <c r="D97" s="24" t="str">
        <f aca="false">IF(coding!$E94="","",coding!$E94)</f>
        <v/>
      </c>
      <c r="E97" s="24" t="str">
        <f aca="false">IF(coding!$M94="","",coding!$M94)</f>
        <v>conditional</v>
      </c>
      <c r="F97" s="24" t="str">
        <f aca="false">IF(OR(coding!$D94="",coding!$E94=""),"not yet coded",IF(coding!$D94=coding!$E94,"agree","DISAGREE"))</f>
        <v>not yet coded</v>
      </c>
      <c r="G97" s="26"/>
      <c r="H97" s="24" t="str">
        <f aca="false">IF(coding!$I94="","",coding!$I94)</f>
        <v/>
      </c>
      <c r="I97" s="24" t="str">
        <f aca="false">IF(coding!$J94="","",coding!$J94)</f>
        <v/>
      </c>
      <c r="J97" s="24" t="str">
        <f aca="false">IF(coding!$O94="","",coding!$O94)</f>
        <v>T1</v>
      </c>
      <c r="K97" s="24" t="str">
        <f aca="false">IF(OR(coding!$I94="",coding!$J94=""),"not yet coded",IF(coding!$I94=coding!$J94,"agree","DISAGREE"))</f>
        <v>not yet coded</v>
      </c>
      <c r="L97" s="26"/>
    </row>
    <row r="98" customFormat="false" ht="48" hidden="false" customHeight="true" outlineLevel="0" collapsed="false">
      <c r="A98" s="24" t="str">
        <f aca="false">coding!$A95</f>
        <v>P094</v>
      </c>
      <c r="B98" s="15" t="str">
        <f aca="false">coding!$B95</f>
        <v>أرى أنّه يعود لمستخدم الذكاء الاصطناعيّ، فإذا كان معتمدا تماما على هذه البرامج دون تنقيح ما يحصل عليه من معلومات، وإشغال فكره في التأكد من صحتها فإن ذلك يؤدي إلى الاعتماديّة، أمّا إذا كانت برامج الذكاء تُستعمل لمساعدة المستخدم على أداء عمله، أو وضع تصورات يمكن الانطلاق منها، وما إلى ذلك فإنها تعزز الابتكار.</v>
      </c>
      <c r="C98" s="24" t="str">
        <f aca="false">IF(coding!$D95="","",coding!$D95)</f>
        <v/>
      </c>
      <c r="D98" s="24" t="str">
        <f aca="false">IF(coding!$E95="","",coding!$E95)</f>
        <v/>
      </c>
      <c r="E98" s="24" t="str">
        <f aca="false">IF(coding!$M95="","",coding!$M95)</f>
        <v>conditional</v>
      </c>
      <c r="F98" s="24" t="str">
        <f aca="false">IF(OR(coding!$D95="",coding!$E95=""),"not yet coded",IF(coding!$D95=coding!$E95,"agree","DISAGREE"))</f>
        <v>not yet coded</v>
      </c>
      <c r="G98" s="26"/>
      <c r="H98" s="24" t="str">
        <f aca="false">IF(coding!$I95="","",coding!$I95)</f>
        <v/>
      </c>
      <c r="I98" s="24" t="str">
        <f aca="false">IF(coding!$J95="","",coding!$J95)</f>
        <v/>
      </c>
      <c r="J98" s="24" t="str">
        <f aca="false">IF(coding!$O95="","",coding!$O95)</f>
        <v>T1,T4,T6</v>
      </c>
      <c r="K98" s="24" t="str">
        <f aca="false">IF(OR(coding!$I95="",coding!$J95=""),"not yet coded",IF(coding!$I95=coding!$J95,"agree","DISAGREE"))</f>
        <v>not yet coded</v>
      </c>
      <c r="L98" s="26"/>
    </row>
    <row r="99" customFormat="false" ht="15" hidden="false" customHeight="true" outlineLevel="0" collapsed="false">
      <c r="A99" s="24" t="str">
        <f aca="false">coding!$A96</f>
        <v>P095</v>
      </c>
      <c r="B99" s="15" t="str">
        <f aca="false">coding!$B96</f>
        <v>من وجهة نظري أرى بأنه يؤدِّي إلى الاعتمادية</v>
      </c>
      <c r="C99" s="24" t="str">
        <f aca="false">IF(coding!$D96="","",coding!$D96)</f>
        <v/>
      </c>
      <c r="D99" s="24" t="str">
        <f aca="false">IF(coding!$E96="","",coding!$E96)</f>
        <v/>
      </c>
      <c r="E99" s="24" t="str">
        <f aca="false">IF(coding!$M96="","",coding!$M96)</f>
        <v>dependency</v>
      </c>
      <c r="F99" s="24" t="str">
        <f aca="false">IF(OR(coding!$D96="",coding!$E96=""),"not yet coded",IF(coding!$D96=coding!$E96,"agree","DISAGREE"))</f>
        <v>not yet coded</v>
      </c>
      <c r="G99" s="26"/>
      <c r="H99" s="24" t="str">
        <f aca="false">IF(coding!$I96="","",coding!$I96)</f>
        <v/>
      </c>
      <c r="I99" s="24" t="str">
        <f aca="false">IF(coding!$J96="","",coding!$J96)</f>
        <v/>
      </c>
      <c r="J99" s="24" t="str">
        <f aca="false">IF(coding!$O96="","",coding!$O96)</f>
        <v>T2</v>
      </c>
      <c r="K99" s="24" t="str">
        <f aca="false">IF(OR(coding!$I96="",coding!$J96=""),"not yet coded",IF(coding!$I96=coding!$J96,"agree","DISAGREE"))</f>
        <v>not yet coded</v>
      </c>
      <c r="L99" s="26"/>
    </row>
    <row r="100" customFormat="false" ht="25.5" hidden="false" customHeight="true" outlineLevel="0" collapsed="false">
      <c r="A100" s="24" t="str">
        <f aca="false">coding!$A97</f>
        <v>P096</v>
      </c>
      <c r="B100" s="15" t="str">
        <f aca="false">coding!$B97</f>
        <v>قد يؤدي إلى الاعتمادية عند استخدامه بشكل مبالغ، ولكنه أحيانًا يعزز من الابتكار عندما يبدأ بإعطائك أفكار إضافية على فكرتك الأساسية مما يعزز من قوتها.</v>
      </c>
      <c r="C100" s="24" t="str">
        <f aca="false">IF(coding!$D97="","",coding!$D97)</f>
        <v/>
      </c>
      <c r="D100" s="24" t="str">
        <f aca="false">IF(coding!$E97="","",coding!$E97)</f>
        <v/>
      </c>
      <c r="E100" s="24" t="str">
        <f aca="false">IF(coding!$M97="","",coding!$M97)</f>
        <v>conditional</v>
      </c>
      <c r="F100" s="24" t="str">
        <f aca="false">IF(OR(coding!$D97="",coding!$E97=""),"not yet coded",IF(coding!$D97=coding!$E97,"agree","DISAGREE"))</f>
        <v>not yet coded</v>
      </c>
      <c r="G100" s="26"/>
      <c r="H100" s="24" t="str">
        <f aca="false">IF(coding!$I97="","",coding!$I97)</f>
        <v/>
      </c>
      <c r="I100" s="24" t="str">
        <f aca="false">IF(coding!$J97="","",coding!$J97)</f>
        <v/>
      </c>
      <c r="J100" s="24" t="str">
        <f aca="false">IF(coding!$O97="","",coding!$O97)</f>
        <v>T1,T2</v>
      </c>
      <c r="K100" s="24" t="str">
        <f aca="false">IF(OR(coding!$I97="",coding!$J97=""),"not yet coded",IF(coding!$I97=coding!$J97,"agree","DISAGREE"))</f>
        <v>not yet coded</v>
      </c>
      <c r="L100" s="26"/>
    </row>
    <row r="101" customFormat="false" ht="15" hidden="false" customHeight="true" outlineLevel="0" collapsed="false">
      <c r="A101" s="24" t="str">
        <f aca="false">coding!$A98</f>
        <v>P097</v>
      </c>
      <c r="B101" s="15" t="str">
        <f aca="false">coding!$B98</f>
        <v>يعزز الابتكار بس محد عاطي هالشي اهتمام</v>
      </c>
      <c r="C101" s="24" t="str">
        <f aca="false">IF(coding!$D98="","",coding!$D98)</f>
        <v/>
      </c>
      <c r="D101" s="24" t="str">
        <f aca="false">IF(coding!$E98="","",coding!$E98)</f>
        <v/>
      </c>
      <c r="E101" s="24" t="str">
        <f aca="false">IF(coding!$M98="","",coding!$M98)</f>
        <v>innovation</v>
      </c>
      <c r="F101" s="24" t="str">
        <f aca="false">IF(OR(coding!$D98="",coding!$E98=""),"not yet coded",IF(coding!$D98=coding!$E98,"agree","DISAGREE"))</f>
        <v>not yet coded</v>
      </c>
      <c r="G101" s="26"/>
      <c r="H101" s="24" t="str">
        <f aca="false">IF(coding!$I98="","",coding!$I98)</f>
        <v/>
      </c>
      <c r="I101" s="24" t="str">
        <f aca="false">IF(coding!$J98="","",coding!$J98)</f>
        <v/>
      </c>
      <c r="J101" s="24" t="str">
        <f aca="false">IF(coding!$O98="","",coding!$O98)</f>
        <v>T1</v>
      </c>
      <c r="K101" s="24" t="str">
        <f aca="false">IF(OR(coding!$I98="",coding!$J98=""),"not yet coded",IF(coding!$I98=coding!$J98,"agree","DISAGREE"))</f>
        <v>not yet coded</v>
      </c>
      <c r="L101" s="26"/>
    </row>
    <row r="102" customFormat="false" ht="15" hidden="false" customHeight="true" outlineLevel="0" collapsed="false">
      <c r="A102" s="24" t="str">
        <f aca="false">coding!$A99</f>
        <v>P098</v>
      </c>
      <c r="B102" s="15" t="str">
        <f aca="false">coding!$B99</f>
        <v>احايد هذا الرأي لأنه له الدورين حقيقةً</v>
      </c>
      <c r="C102" s="24" t="str">
        <f aca="false">IF(coding!$D99="","",coding!$D99)</f>
        <v/>
      </c>
      <c r="D102" s="24" t="str">
        <f aca="false">IF(coding!$E99="","",coding!$E99)</f>
        <v/>
      </c>
      <c r="E102" s="24" t="str">
        <f aca="false">IF(coding!$M99="","",coding!$M99)</f>
        <v>conditional</v>
      </c>
      <c r="F102" s="24" t="str">
        <f aca="false">IF(OR(coding!$D99="",coding!$E99=""),"not yet coded",IF(coding!$D99=coding!$E99,"agree","DISAGREE"))</f>
        <v>not yet coded</v>
      </c>
      <c r="G102" s="26"/>
      <c r="H102" s="24" t="str">
        <f aca="false">IF(coding!$I99="","",coding!$I99)</f>
        <v/>
      </c>
      <c r="I102" s="24" t="str">
        <f aca="false">IF(coding!$J99="","",coding!$J99)</f>
        <v/>
      </c>
      <c r="J102" s="24" t="str">
        <f aca="false">IF(coding!$O99="","",coding!$O99)</f>
        <v>T1</v>
      </c>
      <c r="K102" s="24" t="str">
        <f aca="false">IF(OR(coding!$I99="",coding!$J99=""),"not yet coded",IF(coding!$I99=coding!$J99,"agree","DISAGREE"))</f>
        <v>not yet coded</v>
      </c>
      <c r="L102" s="26"/>
    </row>
    <row r="103" customFormat="false" ht="15" hidden="false" customHeight="true" outlineLevel="0" collapsed="false">
      <c r="A103" s="24" t="str">
        <f aca="false">coding!$A100</f>
        <v>P099</v>
      </c>
      <c r="B103" s="15" t="str">
        <f aca="false">coding!$B100</f>
        <v>يعزز</v>
      </c>
      <c r="C103" s="24" t="str">
        <f aca="false">IF(coding!$D100="","",coding!$D100)</f>
        <v/>
      </c>
      <c r="D103" s="24" t="str">
        <f aca="false">IF(coding!$E100="","",coding!$E100)</f>
        <v/>
      </c>
      <c r="E103" s="24" t="str">
        <f aca="false">IF(coding!$M100="","",coding!$M100)</f>
        <v>innovation</v>
      </c>
      <c r="F103" s="24" t="str">
        <f aca="false">IF(OR(coding!$D100="",coding!$E100=""),"not yet coded",IF(coding!$D100=coding!$E100,"agree","DISAGREE"))</f>
        <v>not yet coded</v>
      </c>
      <c r="G103" s="26"/>
      <c r="H103" s="24" t="str">
        <f aca="false">IF(coding!$I100="","",coding!$I100)</f>
        <v/>
      </c>
      <c r="I103" s="24" t="str">
        <f aca="false">IF(coding!$J100="","",coding!$J100)</f>
        <v/>
      </c>
      <c r="J103" s="24" t="str">
        <f aca="false">IF(coding!$O100="","",coding!$O100)</f>
        <v>T2</v>
      </c>
      <c r="K103" s="24" t="str">
        <f aca="false">IF(OR(coding!$I100="",coding!$J100=""),"not yet coded",IF(coding!$I100=coding!$J100,"agree","DISAGREE"))</f>
        <v>not yet coded</v>
      </c>
      <c r="L103" s="26"/>
    </row>
    <row r="104" customFormat="false" ht="15" hidden="false" customHeight="true" outlineLevel="0" collapsed="false">
      <c r="A104" s="24" t="str">
        <f aca="false">coding!$A101</f>
        <v>P100</v>
      </c>
      <c r="B104" s="15" t="str">
        <f aca="false">coding!$B101</f>
        <v>يعزز الاعتماديه</v>
      </c>
      <c r="C104" s="24" t="str">
        <f aca="false">IF(coding!$D101="","",coding!$D101)</f>
        <v/>
      </c>
      <c r="D104" s="24" t="str">
        <f aca="false">IF(coding!$E101="","",coding!$E101)</f>
        <v/>
      </c>
      <c r="E104" s="24" t="str">
        <f aca="false">IF(coding!$M101="","",coding!$M101)</f>
        <v>dependency</v>
      </c>
      <c r="F104" s="24" t="str">
        <f aca="false">IF(OR(coding!$D101="",coding!$E101=""),"not yet coded",IF(coding!$D101=coding!$E101,"agree","DISAGREE"))</f>
        <v>not yet coded</v>
      </c>
      <c r="G104" s="26"/>
      <c r="H104" s="24" t="str">
        <f aca="false">IF(coding!$I101="","",coding!$I101)</f>
        <v/>
      </c>
      <c r="I104" s="24" t="str">
        <f aca="false">IF(coding!$J101="","",coding!$J101)</f>
        <v/>
      </c>
      <c r="J104" s="24" t="str">
        <f aca="false">IF(coding!$O101="","",coding!$O101)</f>
        <v>T1</v>
      </c>
      <c r="K104" s="24" t="str">
        <f aca="false">IF(OR(coding!$I101="",coding!$J101=""),"not yet coded",IF(coding!$I101=coding!$J101,"agree","DISAGREE"))</f>
        <v>not yet coded</v>
      </c>
      <c r="L104" s="26"/>
    </row>
    <row r="105" customFormat="false" ht="15" hidden="false" customHeight="true" outlineLevel="0" collapsed="false">
      <c r="A105" s="24" t="str">
        <f aca="false">coding!$A102</f>
        <v>P101</v>
      </c>
      <c r="B105" s="15" t="str">
        <f aca="false">coding!$B102</f>
        <v>الاعتماد</v>
      </c>
      <c r="C105" s="24" t="str">
        <f aca="false">IF(coding!$D102="","",coding!$D102)</f>
        <v/>
      </c>
      <c r="D105" s="24" t="str">
        <f aca="false">IF(coding!$E102="","",coding!$E102)</f>
        <v/>
      </c>
      <c r="E105" s="24" t="str">
        <f aca="false">IF(coding!$M102="","",coding!$M102)</f>
        <v>dependency</v>
      </c>
      <c r="F105" s="24" t="str">
        <f aca="false">IF(OR(coding!$D102="",coding!$E102=""),"not yet coded",IF(coding!$D102=coding!$E102,"agree","DISAGREE"))</f>
        <v>not yet coded</v>
      </c>
      <c r="G105" s="26"/>
      <c r="H105" s="24" t="str">
        <f aca="false">IF(coding!$I102="","",coding!$I102)</f>
        <v/>
      </c>
      <c r="I105" s="24" t="str">
        <f aca="false">IF(coding!$J102="","",coding!$J102)</f>
        <v/>
      </c>
      <c r="J105" s="24" t="str">
        <f aca="false">IF(coding!$O102="","",coding!$O102)</f>
        <v>T1,T2</v>
      </c>
      <c r="K105" s="24" t="str">
        <f aca="false">IF(OR(coding!$I102="",coding!$J102=""),"not yet coded",IF(coding!$I102=coding!$J102,"agree","DISAGREE"))</f>
        <v>not yet coded</v>
      </c>
      <c r="L105" s="26"/>
    </row>
    <row r="106" customFormat="false" ht="15" hidden="false" customHeight="true" outlineLevel="0" collapsed="false">
      <c r="A106" s="24" t="str">
        <f aca="false">coding!$A103</f>
        <v>P102</v>
      </c>
      <c r="B106" s="15" t="str">
        <f aca="false">coding!$B103</f>
        <v>الاعتمادية</v>
      </c>
      <c r="C106" s="24" t="str">
        <f aca="false">IF(coding!$D103="","",coding!$D103)</f>
        <v/>
      </c>
      <c r="D106" s="24" t="str">
        <f aca="false">IF(coding!$E103="","",coding!$E103)</f>
        <v/>
      </c>
      <c r="E106" s="24" t="str">
        <f aca="false">IF(coding!$M103="","",coding!$M103)</f>
        <v>dependency</v>
      </c>
      <c r="F106" s="24" t="str">
        <f aca="false">IF(OR(coding!$D103="",coding!$E103=""),"not yet coded",IF(coding!$D103=coding!$E103,"agree","DISAGREE"))</f>
        <v>not yet coded</v>
      </c>
      <c r="G106" s="26"/>
      <c r="H106" s="24" t="str">
        <f aca="false">IF(coding!$I103="","",coding!$I103)</f>
        <v/>
      </c>
      <c r="I106" s="24" t="str">
        <f aca="false">IF(coding!$J103="","",coding!$J103)</f>
        <v/>
      </c>
      <c r="J106" s="24" t="str">
        <f aca="false">IF(coding!$O103="","",coding!$O103)</f>
        <v>T1,T2</v>
      </c>
      <c r="K106" s="24" t="str">
        <f aca="false">IF(OR(coding!$I103="",coding!$J103=""),"not yet coded",IF(coding!$I103=coding!$J103,"agree","DISAGREE"))</f>
        <v>not yet coded</v>
      </c>
      <c r="L106" s="26"/>
    </row>
    <row r="107" customFormat="false" ht="15" hidden="false" customHeight="true" outlineLevel="0" collapsed="false">
      <c r="A107" s="24" t="str">
        <f aca="false">coding!$A104</f>
        <v>P103</v>
      </c>
      <c r="B107" s="15" t="str">
        <f aca="false">coding!$B104</f>
        <v>قد يؤدي الى الاعتمادية احيانا</v>
      </c>
      <c r="C107" s="24" t="str">
        <f aca="false">IF(coding!$D104="","",coding!$D104)</f>
        <v/>
      </c>
      <c r="D107" s="24" t="str">
        <f aca="false">IF(coding!$E104="","",coding!$E104)</f>
        <v/>
      </c>
      <c r="E107" s="24" t="str">
        <f aca="false">IF(coding!$M104="","",coding!$M104)</f>
        <v>dependency</v>
      </c>
      <c r="F107" s="24" t="str">
        <f aca="false">IF(OR(coding!$D104="",coding!$E104=""),"not yet coded",IF(coding!$D104=coding!$E104,"agree","DISAGREE"))</f>
        <v>not yet coded</v>
      </c>
      <c r="G107" s="26"/>
      <c r="H107" s="24" t="str">
        <f aca="false">IF(coding!$I104="","",coding!$I104)</f>
        <v/>
      </c>
      <c r="I107" s="24" t="str">
        <f aca="false">IF(coding!$J104="","",coding!$J104)</f>
        <v/>
      </c>
      <c r="J107" s="24" t="str">
        <f aca="false">IF(coding!$O104="","",coding!$O104)</f>
        <v>T1,T2</v>
      </c>
      <c r="K107" s="24" t="str">
        <f aca="false">IF(OR(coding!$I104="",coding!$J104=""),"not yet coded",IF(coding!$I104=coding!$J104,"agree","DISAGREE"))</f>
        <v>not yet coded</v>
      </c>
      <c r="L107" s="26"/>
    </row>
    <row r="108" customFormat="false" ht="15" hidden="false" customHeight="true" outlineLevel="0" collapsed="false">
      <c r="A108" s="24" t="str">
        <f aca="false">coding!$A105</f>
        <v>P104</v>
      </c>
      <c r="B108" s="15" t="str">
        <f aca="false">coding!$B105</f>
        <v>يؤدي إلى الاعتماديه</v>
      </c>
      <c r="C108" s="24" t="str">
        <f aca="false">IF(coding!$D105="","",coding!$D105)</f>
        <v/>
      </c>
      <c r="D108" s="24" t="str">
        <f aca="false">IF(coding!$E105="","",coding!$E105)</f>
        <v/>
      </c>
      <c r="E108" s="24" t="str">
        <f aca="false">IF(coding!$M105="","",coding!$M105)</f>
        <v>dependency</v>
      </c>
      <c r="F108" s="24" t="str">
        <f aca="false">IF(OR(coding!$D105="",coding!$E105=""),"not yet coded",IF(coding!$D105=coding!$E105,"agree","DISAGREE"))</f>
        <v>not yet coded</v>
      </c>
      <c r="G108" s="26"/>
      <c r="H108" s="24" t="str">
        <f aca="false">IF(coding!$I105="","",coding!$I105)</f>
        <v/>
      </c>
      <c r="I108" s="24" t="str">
        <f aca="false">IF(coding!$J105="","",coding!$J105)</f>
        <v/>
      </c>
      <c r="J108" s="24" t="str">
        <f aca="false">IF(coding!$O105="","",coding!$O105)</f>
        <v>T1</v>
      </c>
      <c r="K108" s="24" t="str">
        <f aca="false">IF(OR(coding!$I105="",coding!$J105=""),"not yet coded",IF(coding!$I105=coding!$J105,"agree","DISAGREE"))</f>
        <v>not yet coded</v>
      </c>
      <c r="L108" s="26"/>
    </row>
    <row r="109" customFormat="false" ht="15" hidden="false" customHeight="true" outlineLevel="0" collapsed="false">
      <c r="A109" s="24" t="str">
        <f aca="false">coding!$A106</f>
        <v>P105</v>
      </c>
      <c r="B109" s="15" t="str">
        <f aca="false">coding!$B106</f>
        <v>الاعتماديه قليلا على حسب الاستخدام</v>
      </c>
      <c r="C109" s="24" t="str">
        <f aca="false">IF(coding!$D106="","",coding!$D106)</f>
        <v/>
      </c>
      <c r="D109" s="24" t="str">
        <f aca="false">IF(coding!$E106="","",coding!$E106)</f>
        <v/>
      </c>
      <c r="E109" s="24" t="str">
        <f aca="false">IF(coding!$M106="","",coding!$M106)</f>
        <v>conditional</v>
      </c>
      <c r="F109" s="24" t="str">
        <f aca="false">IF(OR(coding!$D106="",coding!$E106=""),"not yet coded",IF(coding!$D106=coding!$E106,"agree","DISAGREE"))</f>
        <v>not yet coded</v>
      </c>
      <c r="G109" s="26"/>
      <c r="H109" s="24" t="str">
        <f aca="false">IF(coding!$I106="","",coding!$I106)</f>
        <v/>
      </c>
      <c r="I109" s="24" t="str">
        <f aca="false">IF(coding!$J106="","",coding!$J106)</f>
        <v/>
      </c>
      <c r="J109" s="24" t="str">
        <f aca="false">IF(coding!$O106="","",coding!$O106)</f>
        <v>T1</v>
      </c>
      <c r="K109" s="24" t="str">
        <f aca="false">IF(OR(coding!$I106="",coding!$J106=""),"not yet coded",IF(coding!$I106=coding!$J106,"agree","DISAGREE"))</f>
        <v>not yet coded</v>
      </c>
      <c r="L109" s="26"/>
    </row>
    <row r="110" customFormat="false" ht="15" hidden="false" customHeight="true" outlineLevel="0" collapsed="false">
      <c r="A110" s="24" t="str">
        <f aca="false">coding!$A107</f>
        <v>P106</v>
      </c>
      <c r="B110" s="15" t="str">
        <f aca="false">coding!$B107</f>
        <v>يعتمد على الشخص نفسه</v>
      </c>
      <c r="C110" s="24" t="str">
        <f aca="false">IF(coding!$D107="","",coding!$D107)</f>
        <v/>
      </c>
      <c r="D110" s="24" t="str">
        <f aca="false">IF(coding!$E107="","",coding!$E107)</f>
        <v/>
      </c>
      <c r="E110" s="24" t="str">
        <f aca="false">IF(coding!$M107="","",coding!$M107)</f>
        <v>conditional</v>
      </c>
      <c r="F110" s="24" t="str">
        <f aca="false">IF(OR(coding!$D107="",coding!$E107=""),"not yet coded",IF(coding!$D107=coding!$E107,"agree","DISAGREE"))</f>
        <v>not yet coded</v>
      </c>
      <c r="G110" s="26"/>
      <c r="H110" s="24" t="str">
        <f aca="false">IF(coding!$I107="","",coding!$I107)</f>
        <v/>
      </c>
      <c r="I110" s="24" t="str">
        <f aca="false">IF(coding!$J107="","",coding!$J107)</f>
        <v/>
      </c>
      <c r="J110" s="24" t="str">
        <f aca="false">IF(coding!$O107="","",coding!$O107)</f>
        <v>T9</v>
      </c>
      <c r="K110" s="24" t="str">
        <f aca="false">IF(OR(coding!$I107="",coding!$J107=""),"not yet coded",IF(coding!$I107=coding!$J107,"agree","DISAGREE"))</f>
        <v>not yet coded</v>
      </c>
      <c r="L110" s="26"/>
    </row>
    <row r="111" customFormat="false" ht="15" hidden="false" customHeight="true" outlineLevel="0" collapsed="false">
      <c r="A111" s="24" t="str">
        <f aca="false">coding!$A108</f>
        <v>P107</v>
      </c>
      <c r="B111" s="15" t="str">
        <f aca="false">coding!$B108</f>
        <v>لا</v>
      </c>
      <c r="C111" s="24" t="str">
        <f aca="false">IF(coding!$D108="","",coding!$D108)</f>
        <v/>
      </c>
      <c r="D111" s="24" t="str">
        <f aca="false">IF(coding!$E108="","",coding!$E108)</f>
        <v/>
      </c>
      <c r="E111" s="24" t="str">
        <f aca="false">IF(coding!$M108="","",coding!$M108)</f>
        <v>uncodable</v>
      </c>
      <c r="F111" s="24" t="str">
        <f aca="false">IF(OR(coding!$D108="",coding!$E108=""),"not yet coded",IF(coding!$D108=coding!$E108,"agree","DISAGREE"))</f>
        <v>not yet coded</v>
      </c>
      <c r="G111" s="26"/>
      <c r="H111" s="24" t="str">
        <f aca="false">IF(coding!$I108="","",coding!$I108)</f>
        <v/>
      </c>
      <c r="I111" s="24" t="str">
        <f aca="false">IF(coding!$J108="","",coding!$J108)</f>
        <v/>
      </c>
      <c r="J111" s="24" t="str">
        <f aca="false">IF(coding!$O108="","",coding!$O108)</f>
        <v>T1</v>
      </c>
      <c r="K111" s="24" t="str">
        <f aca="false">IF(OR(coding!$I108="",coding!$J108=""),"not yet coded",IF(coding!$I108=coding!$J108,"agree","DISAGREE"))</f>
        <v>not yet coded</v>
      </c>
      <c r="L111" s="26"/>
    </row>
    <row r="112" customFormat="false" ht="23.25" hidden="false" customHeight="true" outlineLevel="0" collapsed="false">
      <c r="A112" s="24" t="str">
        <f aca="false">coding!$A109</f>
        <v>P108</v>
      </c>
      <c r="B112" s="15" t="str">
        <f aca="false">coding!$B109</f>
        <v>هو سلاح ذو حديين لا يمكن إجبار الطلاب على استخدامه بشكل معين ، ولكن اذا استخدم بطريقة تولد الأفكار وتلخص الكميات الكبيرة سيكون ذو فائدة</v>
      </c>
      <c r="C112" s="24" t="str">
        <f aca="false">IF(coding!$D109="","",coding!$D109)</f>
        <v/>
      </c>
      <c r="D112" s="24" t="str">
        <f aca="false">IF(coding!$E109="","",coding!$E109)</f>
        <v/>
      </c>
      <c r="E112" s="24" t="str">
        <f aca="false">IF(coding!$M109="","",coding!$M109)</f>
        <v>conditional</v>
      </c>
      <c r="F112" s="24" t="str">
        <f aca="false">IF(OR(coding!$D109="",coding!$E109=""),"not yet coded",IF(coding!$D109=coding!$E109,"agree","DISAGREE"))</f>
        <v>not yet coded</v>
      </c>
      <c r="G112" s="26"/>
      <c r="H112" s="24" t="str">
        <f aca="false">IF(coding!$I109="","",coding!$I109)</f>
        <v/>
      </c>
      <c r="I112" s="24" t="str">
        <f aca="false">IF(coding!$J109="","",coding!$J109)</f>
        <v/>
      </c>
      <c r="J112" s="24" t="str">
        <f aca="false">IF(coding!$O109="","",coding!$O109)</f>
        <v>T1,T2,T3,T4</v>
      </c>
      <c r="K112" s="24" t="str">
        <f aca="false">IF(OR(coding!$I109="",coding!$J109=""),"not yet coded",IF(coding!$I109=coding!$J109,"agree","DISAGREE"))</f>
        <v>not yet coded</v>
      </c>
      <c r="L112" s="26"/>
    </row>
    <row r="113" customFormat="false" ht="15" hidden="false" customHeight="true" outlineLevel="0" collapsed="false">
      <c r="A113" s="24" t="str">
        <f aca="false">coding!$A110</f>
        <v>P109</v>
      </c>
      <c r="B113" s="15" t="str">
        <f aca="false">coding!$B110</f>
        <v>يعزز الابتكار إن لم يعتمد عليه</v>
      </c>
      <c r="C113" s="24" t="str">
        <f aca="false">IF(coding!$D110="","",coding!$D110)</f>
        <v/>
      </c>
      <c r="D113" s="24" t="str">
        <f aca="false">IF(coding!$E110="","",coding!$E110)</f>
        <v/>
      </c>
      <c r="E113" s="24" t="str">
        <f aca="false">IF(coding!$M110="","",coding!$M110)</f>
        <v>conditional</v>
      </c>
      <c r="F113" s="24" t="str">
        <f aca="false">IF(OR(coding!$D110="",coding!$E110=""),"not yet coded",IF(coding!$D110=coding!$E110,"agree","DISAGREE"))</f>
        <v>not yet coded</v>
      </c>
      <c r="G113" s="26"/>
      <c r="H113" s="24" t="str">
        <f aca="false">IF(coding!$I110="","",coding!$I110)</f>
        <v/>
      </c>
      <c r="I113" s="24" t="str">
        <f aca="false">IF(coding!$J110="","",coding!$J110)</f>
        <v/>
      </c>
      <c r="J113" s="24" t="str">
        <f aca="false">IF(coding!$O110="","",coding!$O110)</f>
        <v>T2,T4</v>
      </c>
      <c r="K113" s="24" t="str">
        <f aca="false">IF(OR(coding!$I110="",coding!$J110=""),"not yet coded",IF(coding!$I110=coding!$J110,"agree","DISAGREE"))</f>
        <v>not yet coded</v>
      </c>
      <c r="L113" s="26"/>
    </row>
    <row r="114" customFormat="false" ht="15" hidden="false" customHeight="true" outlineLevel="0" collapsed="false">
      <c r="A114" s="24" t="str">
        <f aca="false">coding!$A111</f>
        <v>P110</v>
      </c>
      <c r="B114" s="15" t="str">
        <f aca="false">coding!$B111</f>
        <v>-</v>
      </c>
      <c r="C114" s="24" t="str">
        <f aca="false">IF(coding!$D111="","",coding!$D111)</f>
        <v/>
      </c>
      <c r="D114" s="24" t="str">
        <f aca="false">IF(coding!$E111="","",coding!$E111)</f>
        <v/>
      </c>
      <c r="E114" s="24" t="str">
        <f aca="false">IF(coding!$M111="","",coding!$M111)</f>
        <v>uncodable</v>
      </c>
      <c r="F114" s="24" t="str">
        <f aca="false">IF(OR(coding!$D111="",coding!$E111=""),"not yet coded",IF(coding!$D111=coding!$E111,"agree","DISAGREE"))</f>
        <v>not yet coded</v>
      </c>
      <c r="G114" s="26"/>
      <c r="H114" s="24" t="str">
        <f aca="false">IF(coding!$I111="","",coding!$I111)</f>
        <v/>
      </c>
      <c r="I114" s="24" t="str">
        <f aca="false">IF(coding!$J111="","",coding!$J111)</f>
        <v/>
      </c>
      <c r="J114" s="24" t="str">
        <f aca="false">IF(coding!$O111="","",coding!$O111)</f>
        <v>T9</v>
      </c>
      <c r="K114" s="24" t="str">
        <f aca="false">IF(OR(coding!$I111="",coding!$J111=""),"not yet coded",IF(coding!$I111=coding!$J111,"agree","DISAGREE"))</f>
        <v>not yet coded</v>
      </c>
      <c r="L114" s="26"/>
    </row>
    <row r="115" customFormat="false" ht="23.25" hidden="false" customHeight="true" outlineLevel="0" collapsed="false">
      <c r="A115" s="24" t="str">
        <f aca="false">coding!$A112</f>
        <v>P111</v>
      </c>
      <c r="B115" s="15" t="str">
        <f aca="false">coding!$B112</f>
        <v>كلاهما، حيث ربما يعتمد عليه الطلاب في استخراج الأفكار والعناوين والمصادر لكنه يعزز من تعزيز فكر الطالب وطريقته للبحث وأن ينظر للأأمور من زاوية أخرى دائمًا</v>
      </c>
      <c r="C115" s="24" t="str">
        <f aca="false">IF(coding!$D112="","",coding!$D112)</f>
        <v/>
      </c>
      <c r="D115" s="24" t="str">
        <f aca="false">IF(coding!$E112="","",coding!$E112)</f>
        <v/>
      </c>
      <c r="E115" s="24" t="str">
        <f aca="false">IF(coding!$M112="","",coding!$M112)</f>
        <v>conditional</v>
      </c>
      <c r="F115" s="24" t="str">
        <f aca="false">IF(OR(coding!$D112="",coding!$E112=""),"not yet coded",IF(coding!$D112=coding!$E112,"agree","DISAGREE"))</f>
        <v>not yet coded</v>
      </c>
      <c r="G115" s="26"/>
      <c r="H115" s="24" t="str">
        <f aca="false">IF(coding!$I112="","",coding!$I112)</f>
        <v/>
      </c>
      <c r="I115" s="24" t="str">
        <f aca="false">IF(coding!$J112="","",coding!$J112)</f>
        <v/>
      </c>
      <c r="J115" s="24" t="str">
        <f aca="false">IF(coding!$O112="","",coding!$O112)</f>
        <v>T1</v>
      </c>
      <c r="K115" s="24" t="str">
        <f aca="false">IF(OR(coding!$I112="",coding!$J112=""),"not yet coded",IF(coding!$I112=coding!$J112,"agree","DISAGREE"))</f>
        <v>not yet coded</v>
      </c>
      <c r="L115" s="26"/>
    </row>
    <row r="116" customFormat="false" ht="15" hidden="false" customHeight="true" outlineLevel="0" collapsed="false">
      <c r="A116" s="24" t="str">
        <f aca="false">coding!$A113</f>
        <v>P112</v>
      </c>
      <c r="B116" s="15" t="str">
        <f aca="false">coding!$B113</f>
        <v>الاعتمادية بالطبع</v>
      </c>
      <c r="C116" s="24" t="str">
        <f aca="false">IF(coding!$D113="","",coding!$D113)</f>
        <v/>
      </c>
      <c r="D116" s="24" t="str">
        <f aca="false">IF(coding!$E113="","",coding!$E113)</f>
        <v/>
      </c>
      <c r="E116" s="24" t="str">
        <f aca="false">IF(coding!$M113="","",coding!$M113)</f>
        <v>dependency</v>
      </c>
      <c r="F116" s="24" t="str">
        <f aca="false">IF(OR(coding!$D113="",coding!$E113=""),"not yet coded",IF(coding!$D113=coding!$E113,"agree","DISAGREE"))</f>
        <v>not yet coded</v>
      </c>
      <c r="G116" s="26"/>
      <c r="H116" s="24" t="str">
        <f aca="false">IF(coding!$I113="","",coding!$I113)</f>
        <v/>
      </c>
      <c r="I116" s="24" t="str">
        <f aca="false">IF(coding!$J113="","",coding!$J113)</f>
        <v/>
      </c>
      <c r="J116" s="24" t="str">
        <f aca="false">IF(coding!$O113="","",coding!$O113)</f>
        <v>T9</v>
      </c>
      <c r="K116" s="24" t="str">
        <f aca="false">IF(OR(coding!$I113="",coding!$J113=""),"not yet coded",IF(coding!$I113=coding!$J113,"agree","DISAGREE"))</f>
        <v>not yet coded</v>
      </c>
      <c r="L116" s="26"/>
    </row>
    <row r="117" customFormat="false" ht="23.25" hidden="false" customHeight="true" outlineLevel="0" collapsed="false">
      <c r="A117" s="24" t="str">
        <f aca="false">coding!$A114</f>
        <v>P113</v>
      </c>
      <c r="B117" s="15" t="str">
        <f aca="false">coding!$B114</f>
        <v>هذا يعتمد على طريقة استخدام الطالب للذكاء الاصطناعي: هل يأخذ منه المادة العلمية جاهزة،؟أم يأخذ منه بعض الأفكار التي تساعده على البحث والتفكير بنفسه؟</v>
      </c>
      <c r="C117" s="24" t="str">
        <f aca="false">IF(coding!$D114="","",coding!$D114)</f>
        <v/>
      </c>
      <c r="D117" s="24" t="str">
        <f aca="false">IF(coding!$E114="","",coding!$E114)</f>
        <v/>
      </c>
      <c r="E117" s="24" t="str">
        <f aca="false">IF(coding!$M114="","",coding!$M114)</f>
        <v>conditional</v>
      </c>
      <c r="F117" s="24" t="str">
        <f aca="false">IF(OR(coding!$D114="",coding!$E114=""),"not yet coded",IF(coding!$D114=coding!$E114,"agree","DISAGREE"))</f>
        <v>not yet coded</v>
      </c>
      <c r="G117" s="26"/>
      <c r="H117" s="24" t="str">
        <f aca="false">IF(coding!$I114="","",coding!$I114)</f>
        <v/>
      </c>
      <c r="I117" s="24" t="str">
        <f aca="false">IF(coding!$J114="","",coding!$J114)</f>
        <v/>
      </c>
      <c r="J117" s="24" t="str">
        <f aca="false">IF(coding!$O114="","",coding!$O114)</f>
        <v>T1</v>
      </c>
      <c r="K117" s="24" t="str">
        <f aca="false">IF(OR(coding!$I114="",coding!$J114=""),"not yet coded",IF(coding!$I114=coding!$J114,"agree","DISAGREE"))</f>
        <v>not yet coded</v>
      </c>
      <c r="L117" s="26"/>
    </row>
    <row r="118" customFormat="false" ht="15" hidden="false" customHeight="true" outlineLevel="0" collapsed="false">
      <c r="A118" s="24" t="str">
        <f aca="false">coding!$A115</f>
        <v>P114</v>
      </c>
      <c r="B118" s="15" t="str">
        <f aca="false">coding!$B115</f>
        <v>الأمرين معا</v>
      </c>
      <c r="C118" s="24" t="str">
        <f aca="false">IF(coding!$D115="","",coding!$D115)</f>
        <v/>
      </c>
      <c r="D118" s="24" t="str">
        <f aca="false">IF(coding!$E115="","",coding!$E115)</f>
        <v/>
      </c>
      <c r="E118" s="24" t="str">
        <f aca="false">IF(coding!$M115="","",coding!$M115)</f>
        <v>conditional</v>
      </c>
      <c r="F118" s="24" t="str">
        <f aca="false">IF(OR(coding!$D115="",coding!$E115=""),"not yet coded",IF(coding!$D115=coding!$E115,"agree","DISAGREE"))</f>
        <v>not yet coded</v>
      </c>
      <c r="G118" s="26"/>
      <c r="H118" s="24" t="str">
        <f aca="false">IF(coding!$I115="","",coding!$I115)</f>
        <v/>
      </c>
      <c r="I118" s="24" t="str">
        <f aca="false">IF(coding!$J115="","",coding!$J115)</f>
        <v/>
      </c>
      <c r="J118" s="24" t="str">
        <f aca="false">IF(coding!$O115="","",coding!$O115)</f>
        <v>T9</v>
      </c>
      <c r="K118" s="24" t="str">
        <f aca="false">IF(OR(coding!$I115="",coding!$J115=""),"not yet coded",IF(coding!$I115=coding!$J115,"agree","DISAGREE"))</f>
        <v>not yet coded</v>
      </c>
      <c r="L118" s="26"/>
    </row>
    <row r="119" customFormat="false" ht="15" hidden="false" customHeight="true" outlineLevel="0" collapsed="false">
      <c r="A119" s="24" t="str">
        <f aca="false">coding!$A116</f>
        <v>P115</v>
      </c>
      <c r="B119" s="15" t="str">
        <f aca="false">coding!$B116</f>
        <v>يعزز الابتكار والفردية.</v>
      </c>
      <c r="C119" s="24" t="str">
        <f aca="false">IF(coding!$D116="","",coding!$D116)</f>
        <v/>
      </c>
      <c r="D119" s="24" t="str">
        <f aca="false">IF(coding!$E116="","",coding!$E116)</f>
        <v/>
      </c>
      <c r="E119" s="24" t="str">
        <f aca="false">IF(coding!$M116="","",coding!$M116)</f>
        <v>innovation</v>
      </c>
      <c r="F119" s="24" t="str">
        <f aca="false">IF(OR(coding!$D116="",coding!$E116=""),"not yet coded",IF(coding!$D116=coding!$E116,"agree","DISAGREE"))</f>
        <v>not yet coded</v>
      </c>
      <c r="G119" s="26"/>
      <c r="H119" s="24" t="str">
        <f aca="false">IF(coding!$I116="","",coding!$I116)</f>
        <v/>
      </c>
      <c r="I119" s="24" t="str">
        <f aca="false">IF(coding!$J116="","",coding!$J116)</f>
        <v/>
      </c>
      <c r="J119" s="24" t="str">
        <f aca="false">IF(coding!$O116="","",coding!$O116)</f>
        <v>T1,T2</v>
      </c>
      <c r="K119" s="24" t="str">
        <f aca="false">IF(OR(coding!$I116="",coding!$J116=""),"not yet coded",IF(coding!$I116=coding!$J116,"agree","DISAGREE"))</f>
        <v>not yet coded</v>
      </c>
      <c r="L119" s="26"/>
    </row>
    <row r="120" customFormat="false" ht="15" hidden="false" customHeight="true" outlineLevel="0" collapsed="false">
      <c r="A120" s="24" t="str">
        <f aca="false">coding!$A117</f>
        <v>P116</v>
      </c>
      <c r="B120" s="15" t="str">
        <f aca="false">coding!$B117</f>
        <v>على حسب الشخص</v>
      </c>
      <c r="C120" s="24" t="str">
        <f aca="false">IF(coding!$D117="","",coding!$D117)</f>
        <v/>
      </c>
      <c r="D120" s="24" t="str">
        <f aca="false">IF(coding!$E117="","",coding!$E117)</f>
        <v/>
      </c>
      <c r="E120" s="24" t="str">
        <f aca="false">IF(coding!$M117="","",coding!$M117)</f>
        <v>conditional</v>
      </c>
      <c r="F120" s="24" t="str">
        <f aca="false">IF(OR(coding!$D117="",coding!$E117=""),"not yet coded",IF(coding!$D117=coding!$E117,"agree","DISAGREE"))</f>
        <v>not yet coded</v>
      </c>
      <c r="G120" s="26"/>
      <c r="H120" s="24" t="str">
        <f aca="false">IF(coding!$I117="","",coding!$I117)</f>
        <v/>
      </c>
      <c r="I120" s="24" t="str">
        <f aca="false">IF(coding!$J117="","",coding!$J117)</f>
        <v/>
      </c>
      <c r="J120" s="24" t="str">
        <f aca="false">IF(coding!$O117="","",coding!$O117)</f>
        <v>T1</v>
      </c>
      <c r="K120" s="24" t="str">
        <f aca="false">IF(OR(coding!$I117="",coding!$J117=""),"not yet coded",IF(coding!$I117=coding!$J117,"agree","DISAGREE"))</f>
        <v>not yet coded</v>
      </c>
      <c r="L120" s="26"/>
    </row>
    <row r="121" customFormat="false" ht="15" hidden="false" customHeight="true" outlineLevel="0" collapsed="false">
      <c r="A121" s="24" t="str">
        <f aca="false">coding!$A118</f>
        <v>P117</v>
      </c>
      <c r="B121" s="15" t="str">
        <f aca="false">coding!$B118</f>
        <v>الابتكار، لو ضبط استخدامه بما يعزز الإنتاجية والتفنن.</v>
      </c>
      <c r="C121" s="24" t="str">
        <f aca="false">IF(coding!$D118="","",coding!$D118)</f>
        <v/>
      </c>
      <c r="D121" s="24" t="str">
        <f aca="false">IF(coding!$E118="","",coding!$E118)</f>
        <v/>
      </c>
      <c r="E121" s="24" t="str">
        <f aca="false">IF(coding!$M118="","",coding!$M118)</f>
        <v>conditional</v>
      </c>
      <c r="F121" s="24" t="str">
        <f aca="false">IF(OR(coding!$D118="",coding!$E118=""),"not yet coded",IF(coding!$D118=coding!$E118,"agree","DISAGREE"))</f>
        <v>not yet coded</v>
      </c>
      <c r="G121" s="26"/>
      <c r="H121" s="24" t="str">
        <f aca="false">IF(coding!$I118="","",coding!$I118)</f>
        <v/>
      </c>
      <c r="I121" s="24" t="str">
        <f aca="false">IF(coding!$J118="","",coding!$J118)</f>
        <v/>
      </c>
      <c r="J121" s="24" t="str">
        <f aca="false">IF(coding!$O118="","",coding!$O118)</f>
        <v>T1,T2,T8</v>
      </c>
      <c r="K121" s="24" t="str">
        <f aca="false">IF(OR(coding!$I118="",coding!$J118=""),"not yet coded",IF(coding!$I118=coding!$J118,"agree","DISAGREE"))</f>
        <v>not yet coded</v>
      </c>
      <c r="L121" s="26"/>
    </row>
    <row r="122" customFormat="false" ht="15" hidden="false" customHeight="true" outlineLevel="0" collapsed="false">
      <c r="A122" s="24" t="str">
        <f aca="false">coding!$A119</f>
        <v>P118</v>
      </c>
      <c r="B122" s="15" t="str">
        <f aca="false">coding!$B119</f>
        <v>الاثنين معا</v>
      </c>
      <c r="C122" s="24" t="str">
        <f aca="false">IF(coding!$D119="","",coding!$D119)</f>
        <v/>
      </c>
      <c r="D122" s="24" t="str">
        <f aca="false">IF(coding!$E119="","",coding!$E119)</f>
        <v/>
      </c>
      <c r="E122" s="24" t="str">
        <f aca="false">IF(coding!$M119="","",coding!$M119)</f>
        <v>conditional</v>
      </c>
      <c r="F122" s="24" t="str">
        <f aca="false">IF(OR(coding!$D119="",coding!$E119=""),"not yet coded",IF(coding!$D119=coding!$E119,"agree","DISAGREE"))</f>
        <v>not yet coded</v>
      </c>
      <c r="G122" s="26"/>
      <c r="H122" s="24" t="str">
        <f aca="false">IF(coding!$I119="","",coding!$I119)</f>
        <v/>
      </c>
      <c r="I122" s="24" t="str">
        <f aca="false">IF(coding!$J119="","",coding!$J119)</f>
        <v/>
      </c>
      <c r="J122" s="24" t="str">
        <f aca="false">IF(coding!$O119="","",coding!$O119)</f>
        <v>T1,T5</v>
      </c>
      <c r="K122" s="24" t="str">
        <f aca="false">IF(OR(coding!$I119="",coding!$J119=""),"not yet coded",IF(coding!$I119=coding!$J119,"agree","DISAGREE"))</f>
        <v>not yet coded</v>
      </c>
      <c r="L122" s="26"/>
    </row>
    <row r="123" customFormat="false" ht="15" hidden="false" customHeight="true" outlineLevel="0" collapsed="false">
      <c r="A123" s="24" t="str">
        <f aca="false">coding!$A120</f>
        <v>P119</v>
      </c>
      <c r="B123" s="15" t="str">
        <f aca="false">coding!$B120</f>
        <v>الى الاعتمادية</v>
      </c>
      <c r="C123" s="24" t="str">
        <f aca="false">IF(coding!$D120="","",coding!$D120)</f>
        <v/>
      </c>
      <c r="D123" s="24" t="str">
        <f aca="false">IF(coding!$E120="","",coding!$E120)</f>
        <v/>
      </c>
      <c r="E123" s="24" t="str">
        <f aca="false">IF(coding!$M120="","",coding!$M120)</f>
        <v>dependency</v>
      </c>
      <c r="F123" s="24" t="str">
        <f aca="false">IF(OR(coding!$D120="",coding!$E120=""),"not yet coded",IF(coding!$D120=coding!$E120,"agree","DISAGREE"))</f>
        <v>not yet coded</v>
      </c>
      <c r="G123" s="26"/>
      <c r="H123" s="24" t="str">
        <f aca="false">IF(coding!$I120="","",coding!$I120)</f>
        <v/>
      </c>
      <c r="I123" s="24" t="str">
        <f aca="false">IF(coding!$J120="","",coding!$J120)</f>
        <v/>
      </c>
      <c r="J123" s="24" t="str">
        <f aca="false">IF(coding!$O120="","",coding!$O120)</f>
        <v>T1</v>
      </c>
      <c r="K123" s="24" t="str">
        <f aca="false">IF(OR(coding!$I120="",coding!$J120=""),"not yet coded",IF(coding!$I120=coding!$J120,"agree","DISAGREE"))</f>
        <v>not yet coded</v>
      </c>
      <c r="L123" s="26"/>
    </row>
    <row r="124" customFormat="false" ht="15" hidden="false" customHeight="true" outlineLevel="0" collapsed="false">
      <c r="A124" s="24" t="str">
        <f aca="false">coding!$A121</f>
        <v>P120</v>
      </c>
      <c r="B124" s="15" t="str">
        <f aca="false">coding!$B121</f>
        <v>الابتكار</v>
      </c>
      <c r="C124" s="24" t="str">
        <f aca="false">IF(coding!$D121="","",coding!$D121)</f>
        <v/>
      </c>
      <c r="D124" s="24" t="str">
        <f aca="false">IF(coding!$E121="","",coding!$E121)</f>
        <v/>
      </c>
      <c r="E124" s="24" t="str">
        <f aca="false">IF(coding!$M121="","",coding!$M121)</f>
        <v>innovation</v>
      </c>
      <c r="F124" s="24" t="str">
        <f aca="false">IF(OR(coding!$D121="",coding!$E121=""),"not yet coded",IF(coding!$D121=coding!$E121,"agree","DISAGREE"))</f>
        <v>not yet coded</v>
      </c>
      <c r="G124" s="26"/>
      <c r="H124" s="24" t="str">
        <f aca="false">IF(coding!$I121="","",coding!$I121)</f>
        <v/>
      </c>
      <c r="I124" s="24" t="str">
        <f aca="false">IF(coding!$J121="","",coding!$J121)</f>
        <v/>
      </c>
      <c r="J124" s="24" t="str">
        <f aca="false">IF(coding!$O121="","",coding!$O121)</f>
        <v>T6,T8</v>
      </c>
      <c r="K124" s="24" t="str">
        <f aca="false">IF(OR(coding!$I121="",coding!$J121=""),"not yet coded",IF(coding!$I121=coding!$J121,"agree","DISAGREE"))</f>
        <v>not yet coded</v>
      </c>
      <c r="L124" s="26"/>
    </row>
    <row r="125" customFormat="false" ht="15" hidden="false" customHeight="true" outlineLevel="0" collapsed="false">
      <c r="A125" s="24" t="str">
        <f aca="false">coding!$A122</f>
        <v>P121</v>
      </c>
      <c r="B125" s="15" t="str">
        <f aca="false">coding!$B122</f>
        <v>يعتمد على المستخدم وطريقة استغلاله لهذه الأداة.</v>
      </c>
      <c r="C125" s="24" t="str">
        <f aca="false">IF(coding!$D122="","",coding!$D122)</f>
        <v/>
      </c>
      <c r="D125" s="24" t="str">
        <f aca="false">IF(coding!$E122="","",coding!$E122)</f>
        <v/>
      </c>
      <c r="E125" s="24" t="str">
        <f aca="false">IF(coding!$M122="","",coding!$M122)</f>
        <v>conditional</v>
      </c>
      <c r="F125" s="24" t="str">
        <f aca="false">IF(OR(coding!$D122="",coding!$E122=""),"not yet coded",IF(coding!$D122=coding!$E122,"agree","DISAGREE"))</f>
        <v>not yet coded</v>
      </c>
      <c r="G125" s="26"/>
      <c r="H125" s="24" t="str">
        <f aca="false">IF(coding!$I122="","",coding!$I122)</f>
        <v/>
      </c>
      <c r="I125" s="24" t="str">
        <f aca="false">IF(coding!$J122="","",coding!$J122)</f>
        <v/>
      </c>
      <c r="J125" s="24" t="str">
        <f aca="false">IF(coding!$O122="","",coding!$O122)</f>
        <v>T5</v>
      </c>
      <c r="K125" s="24" t="str">
        <f aca="false">IF(OR(coding!$I122="",coding!$J122=""),"not yet coded",IF(coding!$I122=coding!$J122,"agree","DISAGREE"))</f>
        <v>not yet coded</v>
      </c>
      <c r="L125" s="26"/>
    </row>
    <row r="126" customFormat="false" ht="104.25" hidden="false" customHeight="true" outlineLevel="0" collapsed="false">
      <c r="A126" s="24" t="str">
        <f aca="false">coding!$A123</f>
        <v>P122</v>
      </c>
      <c r="B126" s="15" t="str">
        <f aca="false">coding!$B123</f>
        <v>هنا أقف محايدةً. ما أراه اليوم في محيطنا الجامعيّ من نقاشاتٍ، وأحاديثٍ، وغيرها…تُشير إلى أنَّ نسبةً كبيرةً من الطلبة يعتمدون اعتمادًا كليّا على الذكاء الاصطناعيّ في إكمال متطلباتهم الجامعيّة وهذا مؤسف جدًا وأمرٌ لا نَسعد به بتاتًا..قُتِل التفكير، قُتِل الإبداع، قُتِلت الأمانة العلميّة! ممّا يُؤلم حقًا، عندما نرى طلابًا من جامِعتنا المتميزة يقفون على خشبة التخرج ويقولون بكلِّ ثقةٍ وفخرٍ واعتزازٍ: "تخرجنا نحن وشات"، ليس المُؤلم وجود الذكاء الاصطناعيّ بحد ذاته، ولا حتى استخدامه، إنّما الاعتماد الكليّ عليه حتى باتَ العقل في سُباتٍ عميق وفقد الطلاب مهاراتِهم الإبداعيّة. في المُقابل، إنّني لا أنكر أنَّ الذكاء الاصطناعيّ أداةٌ مساعدة لنا، وتعزز الابتكار بالتأكيد في حالة استخدامها بالطريقة الصحيحة وبالحدود المعقولة.</v>
      </c>
      <c r="C126" s="24" t="str">
        <f aca="false">IF(coding!$D123="","",coding!$D123)</f>
        <v/>
      </c>
      <c r="D126" s="24" t="str">
        <f aca="false">IF(coding!$E123="","",coding!$E123)</f>
        <v/>
      </c>
      <c r="E126" s="24" t="str">
        <f aca="false">IF(coding!$M123="","",coding!$M123)</f>
        <v>conditional</v>
      </c>
      <c r="F126" s="24" t="str">
        <f aca="false">IF(OR(coding!$D123="",coding!$E123=""),"not yet coded",IF(coding!$D123=coding!$E123,"agree","DISAGREE"))</f>
        <v>not yet coded</v>
      </c>
      <c r="G126" s="26"/>
      <c r="H126" s="24" t="str">
        <f aca="false">IF(coding!$I123="","",coding!$I123)</f>
        <v/>
      </c>
      <c r="I126" s="24" t="str">
        <f aca="false">IF(coding!$J123="","",coding!$J123)</f>
        <v/>
      </c>
      <c r="J126" s="24" t="str">
        <f aca="false">IF(coding!$O123="","",coding!$O123)</f>
        <v>T1,T2,T6</v>
      </c>
      <c r="K126" s="24" t="str">
        <f aca="false">IF(OR(coding!$I123="",coding!$J123=""),"not yet coded",IF(coding!$I123=coding!$J123,"agree","DISAGREE"))</f>
        <v>not yet coded</v>
      </c>
      <c r="L126" s="26"/>
    </row>
    <row r="127" customFormat="false" ht="15" hidden="false" customHeight="true" outlineLevel="0" collapsed="false">
      <c r="A127" s="24" t="str">
        <f aca="false">coding!$A124</f>
        <v>P123</v>
      </c>
      <c r="B127" s="15" t="str">
        <f aca="false">coding!$B124</f>
        <v>الابتكار، من خلال التعليمات المنشأة من قبل الآمر.</v>
      </c>
      <c r="C127" s="24" t="str">
        <f aca="false">IF(coding!$D124="","",coding!$D124)</f>
        <v/>
      </c>
      <c r="D127" s="24" t="str">
        <f aca="false">IF(coding!$E124="","",coding!$E124)</f>
        <v/>
      </c>
      <c r="E127" s="24" t="str">
        <f aca="false">IF(coding!$M124="","",coding!$M124)</f>
        <v>innovation</v>
      </c>
      <c r="F127" s="24" t="str">
        <f aca="false">IF(OR(coding!$D124="",coding!$E124=""),"not yet coded",IF(coding!$D124=coding!$E124,"agree","DISAGREE"))</f>
        <v>not yet coded</v>
      </c>
      <c r="G127" s="26"/>
      <c r="H127" s="24" t="str">
        <f aca="false">IF(coding!$I124="","",coding!$I124)</f>
        <v/>
      </c>
      <c r="I127" s="24" t="str">
        <f aca="false">IF(coding!$J124="","",coding!$J124)</f>
        <v/>
      </c>
      <c r="J127" s="24" t="str">
        <f aca="false">IF(coding!$O124="","",coding!$O124)</f>
        <v>T1,T2</v>
      </c>
      <c r="K127" s="24" t="str">
        <f aca="false">IF(OR(coding!$I124="",coding!$J124=""),"not yet coded",IF(coding!$I124=coding!$J124,"agree","DISAGREE"))</f>
        <v>not yet coded</v>
      </c>
      <c r="L127" s="26"/>
    </row>
    <row r="128" customFormat="false" ht="15" hidden="false" customHeight="true" outlineLevel="0" collapsed="false">
      <c r="A128" s="24" t="str">
        <f aca="false">coding!$A125</f>
        <v>P124</v>
      </c>
      <c r="B128" s="15" t="str">
        <f aca="false">coding!$B125</f>
        <v>على حسب، ومن الجيد الموازنة في استخدامه.</v>
      </c>
      <c r="C128" s="24" t="str">
        <f aca="false">IF(coding!$D125="","",coding!$D125)</f>
        <v/>
      </c>
      <c r="D128" s="24" t="str">
        <f aca="false">IF(coding!$E125="","",coding!$E125)</f>
        <v/>
      </c>
      <c r="E128" s="24" t="str">
        <f aca="false">IF(coding!$M125="","",coding!$M125)</f>
        <v>conditional</v>
      </c>
      <c r="F128" s="24" t="str">
        <f aca="false">IF(OR(coding!$D125="",coding!$E125=""),"not yet coded",IF(coding!$D125=coding!$E125,"agree","DISAGREE"))</f>
        <v>not yet coded</v>
      </c>
      <c r="G128" s="26"/>
      <c r="H128" s="24" t="str">
        <f aca="false">IF(coding!$I125="","",coding!$I125)</f>
        <v/>
      </c>
      <c r="I128" s="24" t="str">
        <f aca="false">IF(coding!$J125="","",coding!$J125)</f>
        <v/>
      </c>
      <c r="J128" s="24" t="str">
        <f aca="false">IF(coding!$O125="","",coding!$O125)</f>
        <v>T5</v>
      </c>
      <c r="K128" s="24" t="str">
        <f aca="false">IF(OR(coding!$I125="",coding!$J125=""),"not yet coded",IF(coding!$I125=coding!$J125,"agree","DISAGREE"))</f>
        <v>not yet coded</v>
      </c>
      <c r="L128" s="26"/>
    </row>
    <row r="129" customFormat="false" ht="23.25" hidden="false" customHeight="true" outlineLevel="0" collapsed="false">
      <c r="A129" s="24" t="str">
        <f aca="false">coding!$A126</f>
        <v>P125</v>
      </c>
      <c r="B129" s="15" t="str">
        <f aca="false">coding!$B126</f>
        <v>قد يساعد في وجود حلول لأسئله غير معروفه إجابتها بطريقه اسرع و اسهل فإنه يعزز الفردية</v>
      </c>
      <c r="C129" s="24" t="str">
        <f aca="false">IF(coding!$D126="","",coding!$D126)</f>
        <v/>
      </c>
      <c r="D129" s="24" t="str">
        <f aca="false">IF(coding!$E126="","",coding!$E126)</f>
        <v/>
      </c>
      <c r="E129" s="24" t="str">
        <f aca="false">IF(coding!$M126="","",coding!$M126)</f>
        <v>innovation</v>
      </c>
      <c r="F129" s="24" t="str">
        <f aca="false">IF(OR(coding!$D126="",coding!$E126=""),"not yet coded",IF(coding!$D126=coding!$E126,"agree","DISAGREE"))</f>
        <v>not yet coded</v>
      </c>
      <c r="G129" s="26"/>
      <c r="H129" s="24" t="str">
        <f aca="false">IF(coding!$I126="","",coding!$I126)</f>
        <v/>
      </c>
      <c r="I129" s="24" t="str">
        <f aca="false">IF(coding!$J126="","",coding!$J126)</f>
        <v/>
      </c>
      <c r="J129" s="24" t="str">
        <f aca="false">IF(coding!$O126="","",coding!$O126)</f>
        <v>T1,T2</v>
      </c>
      <c r="K129" s="24" t="str">
        <f aca="false">IF(OR(coding!$I126="",coding!$J126=""),"not yet coded",IF(coding!$I126=coding!$J126,"agree","DISAGREE"))</f>
        <v>not yet coded</v>
      </c>
      <c r="L129" s="26"/>
    </row>
    <row r="130" customFormat="false" ht="15" hidden="false" customHeight="true" outlineLevel="0" collapsed="false">
      <c r="A130" s="24" t="str">
        <f aca="false">coding!$A127</f>
        <v>P126</v>
      </c>
      <c r="B130" s="15" t="str">
        <f aca="false">coding!$B127</f>
        <v>على حسب الموقف الذي يوظف فيه، ولكني قد يكون اعتمادي في كثير من الأحيان.</v>
      </c>
      <c r="C130" s="24" t="str">
        <f aca="false">IF(coding!$D127="","",coding!$D127)</f>
        <v/>
      </c>
      <c r="D130" s="24" t="str">
        <f aca="false">IF(coding!$E127="","",coding!$E127)</f>
        <v/>
      </c>
      <c r="E130" s="24" t="str">
        <f aca="false">IF(coding!$M127="","",coding!$M127)</f>
        <v>conditional</v>
      </c>
      <c r="F130" s="24" t="str">
        <f aca="false">IF(OR(coding!$D127="",coding!$E127=""),"not yet coded",IF(coding!$D127=coding!$E127,"agree","DISAGREE"))</f>
        <v>not yet coded</v>
      </c>
      <c r="G130" s="26"/>
      <c r="H130" s="24" t="str">
        <f aca="false">IF(coding!$I127="","",coding!$I127)</f>
        <v/>
      </c>
      <c r="I130" s="24" t="str">
        <f aca="false">IF(coding!$J127="","",coding!$J127)</f>
        <v/>
      </c>
      <c r="J130" s="24" t="str">
        <f aca="false">IF(coding!$O127="","",coding!$O127)</f>
        <v>T1</v>
      </c>
      <c r="K130" s="24" t="str">
        <f aca="false">IF(OR(coding!$I127="",coding!$J127=""),"not yet coded",IF(coding!$I127=coding!$J127,"agree","DISAGREE"))</f>
        <v>not yet coded</v>
      </c>
      <c r="L130" s="26"/>
    </row>
    <row r="131" customFormat="false" ht="15" hidden="false" customHeight="true" outlineLevel="0" collapsed="false">
      <c r="A131" s="24" t="str">
        <f aca="false">coding!$A128</f>
        <v>P127</v>
      </c>
      <c r="B131" s="15" t="str">
        <f aca="false">coding!$B128</f>
        <v>كلا الجانبَيْن، وما يحكمه هو طريقة استخدام الفرد لأدوات الذكاء الاصطناعي.</v>
      </c>
      <c r="C131" s="24" t="str">
        <f aca="false">IF(coding!$D128="","",coding!$D128)</f>
        <v/>
      </c>
      <c r="D131" s="24" t="str">
        <f aca="false">IF(coding!$E128="","",coding!$E128)</f>
        <v/>
      </c>
      <c r="E131" s="24" t="str">
        <f aca="false">IF(coding!$M128="","",coding!$M128)</f>
        <v>conditional</v>
      </c>
      <c r="F131" s="24" t="str">
        <f aca="false">IF(OR(coding!$D128="",coding!$E128=""),"not yet coded",IF(coding!$D128=coding!$E128,"agree","DISAGREE"))</f>
        <v>not yet coded</v>
      </c>
      <c r="G131" s="26"/>
      <c r="H131" s="24" t="str">
        <f aca="false">IF(coding!$I128="","",coding!$I128)</f>
        <v/>
      </c>
      <c r="I131" s="24" t="str">
        <f aca="false">IF(coding!$J128="","",coding!$J128)</f>
        <v/>
      </c>
      <c r="J131" s="24" t="str">
        <f aca="false">IF(coding!$O128="","",coding!$O128)</f>
        <v>T1,T4</v>
      </c>
      <c r="K131" s="24" t="str">
        <f aca="false">IF(OR(coding!$I128="",coding!$J128=""),"not yet coded",IF(coding!$I128=coding!$J128,"agree","DISAGREE"))</f>
        <v>not yet coded</v>
      </c>
      <c r="L131" s="26"/>
    </row>
    <row r="132" customFormat="false" ht="15" hidden="false" customHeight="true" outlineLevel="0" collapsed="false">
      <c r="A132" s="24" t="str">
        <f aca="false">coding!$A129</f>
        <v>P128</v>
      </c>
      <c r="B132" s="15" t="str">
        <f aca="false">coding!$B129</f>
        <v>يساعد في العصف الذهني في العمق في الأفكار، وتعميق الإشكالات.</v>
      </c>
      <c r="C132" s="24" t="str">
        <f aca="false">IF(coding!$D129="","",coding!$D129)</f>
        <v/>
      </c>
      <c r="D132" s="24" t="str">
        <f aca="false">IF(coding!$E129="","",coding!$E129)</f>
        <v/>
      </c>
      <c r="E132" s="24" t="str">
        <f aca="false">IF(coding!$M129="","",coding!$M129)</f>
        <v>innovation</v>
      </c>
      <c r="F132" s="24" t="str">
        <f aca="false">IF(OR(coding!$D129="",coding!$E129=""),"not yet coded",IF(coding!$D129=coding!$E129,"agree","DISAGREE"))</f>
        <v>not yet coded</v>
      </c>
      <c r="G132" s="26"/>
      <c r="H132" s="24" t="str">
        <f aca="false">IF(coding!$I129="","",coding!$I129)</f>
        <v/>
      </c>
      <c r="I132" s="24" t="str">
        <f aca="false">IF(coding!$J129="","",coding!$J129)</f>
        <v/>
      </c>
      <c r="J132" s="24" t="str">
        <f aca="false">IF(coding!$O129="","",coding!$O129)</f>
        <v>T5</v>
      </c>
      <c r="K132" s="24" t="str">
        <f aca="false">IF(OR(coding!$I129="",coding!$J129=""),"not yet coded",IF(coding!$I129=coding!$J129,"agree","DISAGREE"))</f>
        <v>not yet coded</v>
      </c>
      <c r="L132" s="26"/>
    </row>
    <row r="133" customFormat="false" ht="15" hidden="false" customHeight="true" outlineLevel="0" collapsed="false">
      <c r="A133" s="24" t="str">
        <f aca="false">coding!$A130</f>
        <v>P129</v>
      </c>
      <c r="B133" s="15" t="str">
        <f aca="false">coding!$B130</f>
        <v>يعزز الابتكار والتفكير الفردي</v>
      </c>
      <c r="C133" s="24" t="str">
        <f aca="false">IF(coding!$D130="","",coding!$D130)</f>
        <v/>
      </c>
      <c r="D133" s="24" t="str">
        <f aca="false">IF(coding!$E130="","",coding!$E130)</f>
        <v/>
      </c>
      <c r="E133" s="24" t="str">
        <f aca="false">IF(coding!$M130="","",coding!$M130)</f>
        <v>innovation</v>
      </c>
      <c r="F133" s="24" t="str">
        <f aca="false">IF(OR(coding!$D130="",coding!$E130=""),"not yet coded",IF(coding!$D130=coding!$E130,"agree","DISAGREE"))</f>
        <v>not yet coded</v>
      </c>
      <c r="G133" s="26"/>
      <c r="H133" s="24" t="str">
        <f aca="false">IF(coding!$I130="","",coding!$I130)</f>
        <v/>
      </c>
      <c r="I133" s="24" t="str">
        <f aca="false">IF(coding!$J130="","",coding!$J130)</f>
        <v/>
      </c>
      <c r="J133" s="24" t="str">
        <f aca="false">IF(coding!$O130="","",coding!$O130)</f>
        <v>T1,T2,T4</v>
      </c>
      <c r="K133" s="24" t="str">
        <f aca="false">IF(OR(coding!$I130="",coding!$J130=""),"not yet coded",IF(coding!$I130=coding!$J130,"agree","DISAGREE"))</f>
        <v>not yet coded</v>
      </c>
      <c r="L133" s="26"/>
    </row>
    <row r="134" customFormat="false" ht="23.25" hidden="false" customHeight="true" outlineLevel="0" collapsed="false">
      <c r="A134" s="24" t="str">
        <f aca="false">coding!$A131</f>
        <v>P130</v>
      </c>
      <c r="B134" s="15" t="str">
        <f aca="false">coding!$B131</f>
        <v>على حسب هدف المستخدم وطريقة استخدامه له، وهي نوعا ما لا تعزز الابتكار إذا لم تغذى بالمواد الجيدة</v>
      </c>
      <c r="C134" s="24" t="str">
        <f aca="false">IF(coding!$D131="","",coding!$D131)</f>
        <v/>
      </c>
      <c r="D134" s="24" t="str">
        <f aca="false">IF(coding!$E131="","",coding!$E131)</f>
        <v/>
      </c>
      <c r="E134" s="24" t="str">
        <f aca="false">IF(coding!$M131="","",coding!$M131)</f>
        <v>conditional</v>
      </c>
      <c r="F134" s="24" t="str">
        <f aca="false">IF(OR(coding!$D131="",coding!$E131=""),"not yet coded",IF(coding!$D131=coding!$E131,"agree","DISAGREE"))</f>
        <v>not yet coded</v>
      </c>
      <c r="G134" s="26"/>
      <c r="H134" s="24" t="str">
        <f aca="false">IF(coding!$I131="","",coding!$I131)</f>
        <v/>
      </c>
      <c r="I134" s="24" t="str">
        <f aca="false">IF(coding!$J131="","",coding!$J131)</f>
        <v/>
      </c>
      <c r="J134" s="24" t="str">
        <f aca="false">IF(coding!$O131="","",coding!$O131)</f>
        <v>T3</v>
      </c>
      <c r="K134" s="24" t="str">
        <f aca="false">IF(OR(coding!$I131="",coding!$J131=""),"not yet coded",IF(coding!$I131=coding!$J131,"agree","DISAGREE"))</f>
        <v>not yet coded</v>
      </c>
      <c r="L134" s="26"/>
    </row>
    <row r="135" customFormat="false" ht="15" hidden="false" customHeight="true" outlineLevel="0" collapsed="false">
      <c r="A135" s="24" t="str">
        <f aca="false">coding!$A132</f>
        <v>P131</v>
      </c>
      <c r="B135" s="15" t="str">
        <f aca="false">coding!$B132</f>
        <v>يؤدي إلى الاعتمادية</v>
      </c>
      <c r="C135" s="24" t="str">
        <f aca="false">IF(coding!$D132="","",coding!$D132)</f>
        <v/>
      </c>
      <c r="D135" s="24" t="str">
        <f aca="false">IF(coding!$E132="","",coding!$E132)</f>
        <v/>
      </c>
      <c r="E135" s="24" t="str">
        <f aca="false">IF(coding!$M132="","",coding!$M132)</f>
        <v>dependency</v>
      </c>
      <c r="F135" s="24" t="str">
        <f aca="false">IF(OR(coding!$D132="",coding!$E132=""),"not yet coded",IF(coding!$D132=coding!$E132,"agree","DISAGREE"))</f>
        <v>not yet coded</v>
      </c>
      <c r="G135" s="26"/>
      <c r="H135" s="24" t="str">
        <f aca="false">IF(coding!$I132="","",coding!$I132)</f>
        <v/>
      </c>
      <c r="I135" s="24" t="str">
        <f aca="false">IF(coding!$J132="","",coding!$J132)</f>
        <v/>
      </c>
      <c r="J135" s="24" t="str">
        <f aca="false">IF(coding!$O132="","",coding!$O132)</f>
        <v>T1,T2</v>
      </c>
      <c r="K135" s="24" t="str">
        <f aca="false">IF(OR(coding!$I132="",coding!$J132=""),"not yet coded",IF(coding!$I132=coding!$J132,"agree","DISAGREE"))</f>
        <v>not yet coded</v>
      </c>
      <c r="L135" s="26"/>
    </row>
    <row r="136" customFormat="false" ht="15" hidden="false" customHeight="true" outlineLevel="0" collapsed="false">
      <c r="A136" s="24" t="str">
        <f aca="false">coding!$A133</f>
        <v>P132</v>
      </c>
      <c r="B136" s="15" t="str">
        <f aca="false">coding!$B133</f>
        <v>الاعتمادية</v>
      </c>
      <c r="C136" s="24" t="str">
        <f aca="false">IF(coding!$D133="","",coding!$D133)</f>
        <v/>
      </c>
      <c r="D136" s="24" t="str">
        <f aca="false">IF(coding!$E133="","",coding!$E133)</f>
        <v/>
      </c>
      <c r="E136" s="24" t="str">
        <f aca="false">IF(coding!$M133="","",coding!$M133)</f>
        <v>dependency</v>
      </c>
      <c r="F136" s="24" t="str">
        <f aca="false">IF(OR(coding!$D133="",coding!$E133=""),"not yet coded",IF(coding!$D133=coding!$E133,"agree","DISAGREE"))</f>
        <v>not yet coded</v>
      </c>
      <c r="G136" s="26"/>
      <c r="H136" s="24" t="str">
        <f aca="false">IF(coding!$I133="","",coding!$I133)</f>
        <v/>
      </c>
      <c r="I136" s="24" t="str">
        <f aca="false">IF(coding!$J133="","",coding!$J133)</f>
        <v/>
      </c>
      <c r="J136" s="24" t="str">
        <f aca="false">IF(coding!$O133="","",coding!$O133)</f>
        <v>T1,T2,T4,T6</v>
      </c>
      <c r="K136" s="24" t="str">
        <f aca="false">IF(OR(coding!$I133="",coding!$J133=""),"not yet coded",IF(coding!$I133=coding!$J133,"agree","DISAGREE"))</f>
        <v>not yet coded</v>
      </c>
      <c r="L136" s="26"/>
    </row>
    <row r="137" customFormat="false" ht="15" hidden="false" customHeight="true" outlineLevel="0" collapsed="false">
      <c r="A137" s="24" t="str">
        <f aca="false">coding!$A134</f>
        <v>P133</v>
      </c>
      <c r="B137" s="15" t="str">
        <f aca="false">coding!$B134</f>
        <v>على حسب استخدام الفرد</v>
      </c>
      <c r="C137" s="24" t="str">
        <f aca="false">IF(coding!$D134="","",coding!$D134)</f>
        <v/>
      </c>
      <c r="D137" s="24" t="str">
        <f aca="false">IF(coding!$E134="","",coding!$E134)</f>
        <v/>
      </c>
      <c r="E137" s="24" t="str">
        <f aca="false">IF(coding!$M134="","",coding!$M134)</f>
        <v>conditional</v>
      </c>
      <c r="F137" s="24" t="str">
        <f aca="false">IF(OR(coding!$D134="",coding!$E134=""),"not yet coded",IF(coding!$D134=coding!$E134,"agree","DISAGREE"))</f>
        <v>not yet coded</v>
      </c>
      <c r="G137" s="26"/>
      <c r="H137" s="24" t="str">
        <f aca="false">IF(coding!$I134="","",coding!$I134)</f>
        <v/>
      </c>
      <c r="I137" s="24" t="str">
        <f aca="false">IF(coding!$J134="","",coding!$J134)</f>
        <v/>
      </c>
      <c r="J137" s="24" t="str">
        <f aca="false">IF(coding!$O134="","",coding!$O134)</f>
        <v>T1,T6</v>
      </c>
      <c r="K137" s="24" t="str">
        <f aca="false">IF(OR(coding!$I134="",coding!$J134=""),"not yet coded",IF(coding!$I134=coding!$J134,"agree","DISAGREE"))</f>
        <v>not yet coded</v>
      </c>
      <c r="L137" s="26"/>
    </row>
    <row r="138" customFormat="false" ht="15" hidden="false" customHeight="true" outlineLevel="0" collapsed="false">
      <c r="A138" s="24" t="str">
        <f aca="false">coding!$A135</f>
        <v>P134</v>
      </c>
      <c r="B138" s="15" t="str">
        <f aca="false">coding!$B135</f>
        <v>نعم</v>
      </c>
      <c r="C138" s="24" t="str">
        <f aca="false">IF(coding!$D135="","",coding!$D135)</f>
        <v/>
      </c>
      <c r="D138" s="24" t="str">
        <f aca="false">IF(coding!$E135="","",coding!$E135)</f>
        <v/>
      </c>
      <c r="E138" s="24" t="str">
        <f aca="false">IF(coding!$M135="","",coding!$M135)</f>
        <v>uncodable</v>
      </c>
      <c r="F138" s="24" t="str">
        <f aca="false">IF(OR(coding!$D135="",coding!$E135=""),"not yet coded",IF(coding!$D135=coding!$E135,"agree","DISAGREE"))</f>
        <v>not yet coded</v>
      </c>
      <c r="G138" s="26"/>
      <c r="H138" s="24" t="str">
        <f aca="false">IF(coding!$I135="","",coding!$I135)</f>
        <v/>
      </c>
      <c r="I138" s="24" t="str">
        <f aca="false">IF(coding!$J135="","",coding!$J135)</f>
        <v/>
      </c>
      <c r="J138" s="24" t="str">
        <f aca="false">IF(coding!$O135="","",coding!$O135)</f>
        <v>T1</v>
      </c>
      <c r="K138" s="24" t="str">
        <f aca="false">IF(OR(coding!$I135="",coding!$J135=""),"not yet coded",IF(coding!$I135=coding!$J135,"agree","DISAGREE"))</f>
        <v>not yet coded</v>
      </c>
      <c r="L138" s="26"/>
    </row>
    <row r="139" customFormat="false" ht="15" hidden="false" customHeight="true" outlineLevel="0" collapsed="false">
      <c r="A139" s="24" t="str">
        <f aca="false">coding!$A136</f>
        <v>P135</v>
      </c>
      <c r="B139" s="15" t="str">
        <f aca="false">coding!$B136</f>
        <v>كلاهما حسب الاستخدام</v>
      </c>
      <c r="C139" s="24" t="str">
        <f aca="false">IF(coding!$D136="","",coding!$D136)</f>
        <v/>
      </c>
      <c r="D139" s="24" t="str">
        <f aca="false">IF(coding!$E136="","",coding!$E136)</f>
        <v/>
      </c>
      <c r="E139" s="24" t="str">
        <f aca="false">IF(coding!$M136="","",coding!$M136)</f>
        <v>conditional</v>
      </c>
      <c r="F139" s="24" t="str">
        <f aca="false">IF(OR(coding!$D136="",coding!$E136=""),"not yet coded",IF(coding!$D136=coding!$E136,"agree","DISAGREE"))</f>
        <v>not yet coded</v>
      </c>
      <c r="G139" s="26"/>
      <c r="H139" s="24" t="str">
        <f aca="false">IF(coding!$I136="","",coding!$I136)</f>
        <v/>
      </c>
      <c r="I139" s="24" t="str">
        <f aca="false">IF(coding!$J136="","",coding!$J136)</f>
        <v/>
      </c>
      <c r="J139" s="24" t="str">
        <f aca="false">IF(coding!$O136="","",coding!$O136)</f>
        <v>T2,T5</v>
      </c>
      <c r="K139" s="24" t="str">
        <f aca="false">IF(OR(coding!$I136="",coding!$J136=""),"not yet coded",IF(coding!$I136=coding!$J136,"agree","DISAGREE"))</f>
        <v>not yet coded</v>
      </c>
      <c r="L139" s="26"/>
    </row>
    <row r="140" customFormat="false" ht="15" hidden="false" customHeight="true" outlineLevel="0" collapsed="false">
      <c r="A140" s="24" t="str">
        <f aca="false">coding!$A137</f>
        <v>P136</v>
      </c>
      <c r="B140" s="15" t="str">
        <f aca="false">coding!$B137</f>
        <v>يعزز الابتكار</v>
      </c>
      <c r="C140" s="24" t="str">
        <f aca="false">IF(coding!$D137="","",coding!$D137)</f>
        <v/>
      </c>
      <c r="D140" s="24" t="str">
        <f aca="false">IF(coding!$E137="","",coding!$E137)</f>
        <v/>
      </c>
      <c r="E140" s="24" t="str">
        <f aca="false">IF(coding!$M137="","",coding!$M137)</f>
        <v>innovation</v>
      </c>
      <c r="F140" s="24" t="str">
        <f aca="false">IF(OR(coding!$D137="",coding!$E137=""),"not yet coded",IF(coding!$D137=coding!$E137,"agree","DISAGREE"))</f>
        <v>not yet coded</v>
      </c>
      <c r="G140" s="26"/>
      <c r="H140" s="24" t="str">
        <f aca="false">IF(coding!$I137="","",coding!$I137)</f>
        <v/>
      </c>
      <c r="I140" s="24" t="str">
        <f aca="false">IF(coding!$J137="","",coding!$J137)</f>
        <v/>
      </c>
      <c r="J140" s="24" t="str">
        <f aca="false">IF(coding!$O137="","",coding!$O137)</f>
        <v>T2,T6</v>
      </c>
      <c r="K140" s="24" t="str">
        <f aca="false">IF(OR(coding!$I137="",coding!$J137=""),"not yet coded",IF(coding!$I137=coding!$J137,"agree","DISAGREE"))</f>
        <v>not yet coded</v>
      </c>
      <c r="L140" s="26"/>
    </row>
    <row r="141" customFormat="false" ht="15" hidden="false" customHeight="true" outlineLevel="0" collapsed="false">
      <c r="A141" s="24" t="str">
        <f aca="false">coding!$A138</f>
        <v>P137</v>
      </c>
      <c r="B141" s="15" t="str">
        <f aca="false">coding!$B138</f>
        <v>يعزز الابتكار</v>
      </c>
      <c r="C141" s="24" t="str">
        <f aca="false">IF(coding!$D138="","",coding!$D138)</f>
        <v/>
      </c>
      <c r="D141" s="24" t="str">
        <f aca="false">IF(coding!$E138="","",coding!$E138)</f>
        <v/>
      </c>
      <c r="E141" s="24" t="str">
        <f aca="false">IF(coding!$M138="","",coding!$M138)</f>
        <v>innovation</v>
      </c>
      <c r="F141" s="24" t="str">
        <f aca="false">IF(OR(coding!$D138="",coding!$E138=""),"not yet coded",IF(coding!$D138=coding!$E138,"agree","DISAGREE"))</f>
        <v>not yet coded</v>
      </c>
      <c r="G141" s="26"/>
      <c r="H141" s="24" t="str">
        <f aca="false">IF(coding!$I138="","",coding!$I138)</f>
        <v/>
      </c>
      <c r="I141" s="24" t="str">
        <f aca="false">IF(coding!$J138="","",coding!$J138)</f>
        <v/>
      </c>
      <c r="J141" s="24" t="str">
        <f aca="false">IF(coding!$O138="","",coding!$O138)</f>
        <v>T1,T8</v>
      </c>
      <c r="K141" s="24" t="str">
        <f aca="false">IF(OR(coding!$I138="",coding!$J138=""),"not yet coded",IF(coding!$I138=coding!$J138,"agree","DISAGREE"))</f>
        <v>not yet coded</v>
      </c>
      <c r="L141" s="26"/>
    </row>
    <row r="142" customFormat="false" ht="15" hidden="false" customHeight="true" outlineLevel="0" collapsed="false">
      <c r="A142" s="24" t="str">
        <f aca="false">coding!$A139</f>
        <v>P138</v>
      </c>
      <c r="B142" s="15" t="str">
        <f aca="false">coding!$B139</f>
        <v>يعتمد على استخدام الشخص</v>
      </c>
      <c r="C142" s="24" t="str">
        <f aca="false">IF(coding!$D139="","",coding!$D139)</f>
        <v/>
      </c>
      <c r="D142" s="24" t="str">
        <f aca="false">IF(coding!$E139="","",coding!$E139)</f>
        <v/>
      </c>
      <c r="E142" s="24" t="str">
        <f aca="false">IF(coding!$M139="","",coding!$M139)</f>
        <v>conditional</v>
      </c>
      <c r="F142" s="24" t="str">
        <f aca="false">IF(OR(coding!$D139="",coding!$E139=""),"not yet coded",IF(coding!$D139=coding!$E139,"agree","DISAGREE"))</f>
        <v>not yet coded</v>
      </c>
      <c r="G142" s="26"/>
      <c r="H142" s="24" t="str">
        <f aca="false">IF(coding!$I139="","",coding!$I139)</f>
        <v/>
      </c>
      <c r="I142" s="24" t="str">
        <f aca="false">IF(coding!$J139="","",coding!$J139)</f>
        <v/>
      </c>
      <c r="J142" s="24" t="str">
        <f aca="false">IF(coding!$O139="","",coding!$O139)</f>
        <v>T2,T6</v>
      </c>
      <c r="K142" s="24" t="str">
        <f aca="false">IF(OR(coding!$I139="",coding!$J139=""),"not yet coded",IF(coding!$I139=coding!$J139,"agree","DISAGREE"))</f>
        <v>not yet coded</v>
      </c>
      <c r="L142" s="26"/>
    </row>
    <row r="143" customFormat="false" ht="15" hidden="false" customHeight="true" outlineLevel="0" collapsed="false">
      <c r="A143" s="24" t="str">
        <f aca="false">coding!$A140</f>
        <v>P139</v>
      </c>
      <c r="B143" s="15" t="str">
        <f aca="false">coding!$B140</f>
        <v>الأثنين</v>
      </c>
      <c r="C143" s="24" t="str">
        <f aca="false">IF(coding!$D140="","",coding!$D140)</f>
        <v/>
      </c>
      <c r="D143" s="24" t="str">
        <f aca="false">IF(coding!$E140="","",coding!$E140)</f>
        <v/>
      </c>
      <c r="E143" s="24" t="str">
        <f aca="false">IF(coding!$M140="","",coding!$M140)</f>
        <v>conditional</v>
      </c>
      <c r="F143" s="24" t="str">
        <f aca="false">IF(OR(coding!$D140="",coding!$E140=""),"not yet coded",IF(coding!$D140=coding!$E140,"agree","DISAGREE"))</f>
        <v>not yet coded</v>
      </c>
      <c r="G143" s="26"/>
      <c r="H143" s="24" t="str">
        <f aca="false">IF(coding!$I140="","",coding!$I140)</f>
        <v/>
      </c>
      <c r="I143" s="24" t="str">
        <f aca="false">IF(coding!$J140="","",coding!$J140)</f>
        <v/>
      </c>
      <c r="J143" s="24" t="str">
        <f aca="false">IF(coding!$O140="","",coding!$O140)</f>
        <v>T1</v>
      </c>
      <c r="K143" s="24" t="str">
        <f aca="false">IF(OR(coding!$I140="",coding!$J140=""),"not yet coded",IF(coding!$I140=coding!$J140,"agree","DISAGREE"))</f>
        <v>not yet coded</v>
      </c>
      <c r="L143" s="26"/>
    </row>
    <row r="144" customFormat="false" ht="15" hidden="false" customHeight="true" outlineLevel="0" collapsed="false">
      <c r="A144" s="24" t="str">
        <f aca="false">coding!$A141</f>
        <v>P140</v>
      </c>
      <c r="B144" s="15" t="str">
        <f aca="false">coding!$B141</f>
        <v>الجانبان</v>
      </c>
      <c r="C144" s="24" t="str">
        <f aca="false">IF(coding!$D141="","",coding!$D141)</f>
        <v/>
      </c>
      <c r="D144" s="24" t="str">
        <f aca="false">IF(coding!$E141="","",coding!$E141)</f>
        <v/>
      </c>
      <c r="E144" s="24" t="str">
        <f aca="false">IF(coding!$M141="","",coding!$M141)</f>
        <v>conditional</v>
      </c>
      <c r="F144" s="24" t="str">
        <f aca="false">IF(OR(coding!$D141="",coding!$E141=""),"not yet coded",IF(coding!$D141=coding!$E141,"agree","DISAGREE"))</f>
        <v>not yet coded</v>
      </c>
      <c r="G144" s="26"/>
      <c r="H144" s="24" t="str">
        <f aca="false">IF(coding!$I141="","",coding!$I141)</f>
        <v/>
      </c>
      <c r="I144" s="24" t="str">
        <f aca="false">IF(coding!$J141="","",coding!$J141)</f>
        <v/>
      </c>
      <c r="J144" s="24" t="str">
        <f aca="false">IF(coding!$O141="","",coding!$O141)</f>
        <v>T2</v>
      </c>
      <c r="K144" s="24" t="str">
        <f aca="false">IF(OR(coding!$I141="",coding!$J141=""),"not yet coded",IF(coding!$I141=coding!$J141,"agree","DISAGREE"))</f>
        <v>not yet coded</v>
      </c>
      <c r="L144" s="26"/>
    </row>
    <row r="145" customFormat="false" ht="36.75" hidden="false" customHeight="true" outlineLevel="0" collapsed="false">
      <c r="A145" s="24" t="str">
        <f aca="false">coding!$A142</f>
        <v>P141</v>
      </c>
      <c r="B145" s="15" t="str">
        <f aca="false">coding!$B142</f>
        <v>يعتمد ذلك على طريقة الاستعمال؛ فهي تؤدي إلى الاتكاليّة إذا اُعتمد عليها في إصدار الأحكام، أو الخلوص إلى نتائج البحث مثلا. ولكن استخدامها بالطريقة الصحيحة لتوفير الوقت في المهام الطويلة أو فتح نوافذ معرفة جديدة يساعِد المستخدم.</v>
      </c>
      <c r="C145" s="24" t="str">
        <f aca="false">IF(coding!$D142="","",coding!$D142)</f>
        <v/>
      </c>
      <c r="D145" s="24" t="str">
        <f aca="false">IF(coding!$E142="","",coding!$E142)</f>
        <v/>
      </c>
      <c r="E145" s="24" t="str">
        <f aca="false">IF(coding!$M142="","",coding!$M142)</f>
        <v>conditional</v>
      </c>
      <c r="F145" s="24" t="str">
        <f aca="false">IF(OR(coding!$D142="",coding!$E142=""),"not yet coded",IF(coding!$D142=coding!$E142,"agree","DISAGREE"))</f>
        <v>not yet coded</v>
      </c>
      <c r="G145" s="26"/>
      <c r="H145" s="24" t="str">
        <f aca="false">IF(coding!$I142="","",coding!$I142)</f>
        <v/>
      </c>
      <c r="I145" s="24" t="str">
        <f aca="false">IF(coding!$J142="","",coding!$J142)</f>
        <v/>
      </c>
      <c r="J145" s="24" t="str">
        <f aca="false">IF(coding!$O142="","",coding!$O142)</f>
        <v>T1,T4,T6</v>
      </c>
      <c r="K145" s="24" t="str">
        <f aca="false">IF(OR(coding!$I142="",coding!$J142=""),"not yet coded",IF(coding!$I142=coding!$J142,"agree","DISAGREE"))</f>
        <v>not yet coded</v>
      </c>
      <c r="L145" s="26"/>
    </row>
    <row r="146" customFormat="false" ht="15" hidden="false" customHeight="true" outlineLevel="0" collapsed="false">
      <c r="A146" s="24" t="str">
        <f aca="false">coding!$A143</f>
        <v>P142</v>
      </c>
      <c r="B146" s="15" t="str">
        <f aca="false">coding!$B143</f>
        <v>بالنسبة لي يساعدني في التحليل والابتكار وسعة الأفق</v>
      </c>
      <c r="C146" s="24" t="str">
        <f aca="false">IF(coding!$D143="","",coding!$D143)</f>
        <v/>
      </c>
      <c r="D146" s="24" t="str">
        <f aca="false">IF(coding!$E143="","",coding!$E143)</f>
        <v/>
      </c>
      <c r="E146" s="24" t="str">
        <f aca="false">IF(coding!$M143="","",coding!$M143)</f>
        <v>innovation</v>
      </c>
      <c r="F146" s="24" t="str">
        <f aca="false">IF(OR(coding!$D143="",coding!$E143=""),"not yet coded",IF(coding!$D143=coding!$E143,"agree","DISAGREE"))</f>
        <v>not yet coded</v>
      </c>
      <c r="G146" s="26"/>
      <c r="H146" s="24" t="str">
        <f aca="false">IF(coding!$I143="","",coding!$I143)</f>
        <v/>
      </c>
      <c r="I146" s="24" t="str">
        <f aca="false">IF(coding!$J143="","",coding!$J143)</f>
        <v/>
      </c>
      <c r="J146" s="24" t="str">
        <f aca="false">IF(coding!$O143="","",coding!$O143)</f>
        <v>T1,T4,T5</v>
      </c>
      <c r="K146" s="24" t="str">
        <f aca="false">IF(OR(coding!$I143="",coding!$J143=""),"not yet coded",IF(coding!$I143=coding!$J143,"agree","DISAGREE"))</f>
        <v>not yet coded</v>
      </c>
      <c r="L146" s="26"/>
    </row>
    <row r="147" customFormat="false" ht="15" hidden="false" customHeight="true" outlineLevel="0" collapsed="false">
      <c r="A147" s="24" t="str">
        <f aca="false">coding!$A144</f>
        <v>P143</v>
      </c>
      <c r="B147" s="15" t="str">
        <f aca="false">coding!$B144</f>
        <v>بين الاعتماد و الابتكار</v>
      </c>
      <c r="C147" s="24" t="str">
        <f aca="false">IF(coding!$D144="","",coding!$D144)</f>
        <v/>
      </c>
      <c r="D147" s="24" t="str">
        <f aca="false">IF(coding!$E144="","",coding!$E144)</f>
        <v/>
      </c>
      <c r="E147" s="24" t="str">
        <f aca="false">IF(coding!$M144="","",coding!$M144)</f>
        <v>conditional</v>
      </c>
      <c r="F147" s="24" t="str">
        <f aca="false">IF(OR(coding!$D144="",coding!$E144=""),"not yet coded",IF(coding!$D144=coding!$E144,"agree","DISAGREE"))</f>
        <v>not yet coded</v>
      </c>
      <c r="G147" s="26"/>
      <c r="H147" s="24" t="str">
        <f aca="false">IF(coding!$I144="","",coding!$I144)</f>
        <v/>
      </c>
      <c r="I147" s="24" t="str">
        <f aca="false">IF(coding!$J144="","",coding!$J144)</f>
        <v/>
      </c>
      <c r="J147" s="24" t="str">
        <f aca="false">IF(coding!$O144="","",coding!$O144)</f>
        <v>T1</v>
      </c>
      <c r="K147" s="24" t="str">
        <f aca="false">IF(OR(coding!$I144="",coding!$J144=""),"not yet coded",IF(coding!$I144=coding!$J144,"agree","DISAGREE"))</f>
        <v>not yet coded</v>
      </c>
      <c r="L147" s="26"/>
    </row>
    <row r="148" customFormat="false" ht="15" hidden="false" customHeight="true" outlineLevel="0" collapsed="false">
      <c r="A148" s="24" t="str">
        <f aca="false">coding!$A145</f>
        <v>P144</v>
      </c>
      <c r="B148" s="15" t="str">
        <f aca="false">coding!$B145</f>
        <v>الاعتمادية غالبا</v>
      </c>
      <c r="C148" s="24" t="str">
        <f aca="false">IF(coding!$D145="","",coding!$D145)</f>
        <v/>
      </c>
      <c r="D148" s="24" t="str">
        <f aca="false">IF(coding!$E145="","",coding!$E145)</f>
        <v/>
      </c>
      <c r="E148" s="24" t="str">
        <f aca="false">IF(coding!$M145="","",coding!$M145)</f>
        <v>dependency</v>
      </c>
      <c r="F148" s="24" t="str">
        <f aca="false">IF(OR(coding!$D145="",coding!$E145=""),"not yet coded",IF(coding!$D145=coding!$E145,"agree","DISAGREE"))</f>
        <v>not yet coded</v>
      </c>
      <c r="G148" s="26"/>
      <c r="H148" s="24" t="str">
        <f aca="false">IF(coding!$I145="","",coding!$I145)</f>
        <v/>
      </c>
      <c r="I148" s="24" t="str">
        <f aca="false">IF(coding!$J145="","",coding!$J145)</f>
        <v/>
      </c>
      <c r="J148" s="24" t="str">
        <f aca="false">IF(coding!$O145="","",coding!$O145)</f>
        <v>T1</v>
      </c>
      <c r="K148" s="24" t="str">
        <f aca="false">IF(OR(coding!$I145="",coding!$J145=""),"not yet coded",IF(coding!$I145=coding!$J145,"agree","DISAGREE"))</f>
        <v>not yet coded</v>
      </c>
      <c r="L148" s="26"/>
    </row>
    <row r="149" customFormat="false" ht="15" hidden="false" customHeight="true" outlineLevel="0" collapsed="false">
      <c r="A149" s="24" t="str">
        <f aca="false">coding!$A146</f>
        <v>P145</v>
      </c>
      <c r="B149" s="15" t="str">
        <f aca="false">coding!$B146</f>
        <v>يعزز الفردية والابتكار</v>
      </c>
      <c r="C149" s="24" t="str">
        <f aca="false">IF(coding!$D146="","",coding!$D146)</f>
        <v/>
      </c>
      <c r="D149" s="24" t="str">
        <f aca="false">IF(coding!$E146="","",coding!$E146)</f>
        <v/>
      </c>
      <c r="E149" s="24" t="str">
        <f aca="false">IF(coding!$M146="","",coding!$M146)</f>
        <v>innovation</v>
      </c>
      <c r="F149" s="24" t="str">
        <f aca="false">IF(OR(coding!$D146="",coding!$E146=""),"not yet coded",IF(coding!$D146=coding!$E146,"agree","DISAGREE"))</f>
        <v>not yet coded</v>
      </c>
      <c r="G149" s="26"/>
      <c r="H149" s="24" t="str">
        <f aca="false">IF(coding!$I146="","",coding!$I146)</f>
        <v/>
      </c>
      <c r="I149" s="24" t="str">
        <f aca="false">IF(coding!$J146="","",coding!$J146)</f>
        <v/>
      </c>
      <c r="J149" s="24" t="str">
        <f aca="false">IF(coding!$O146="","",coding!$O146)</f>
        <v>T1,T2</v>
      </c>
      <c r="K149" s="24" t="str">
        <f aca="false">IF(OR(coding!$I146="",coding!$J146=""),"not yet coded",IF(coding!$I146=coding!$J146,"agree","DISAGREE"))</f>
        <v>not yet coded</v>
      </c>
      <c r="L149" s="26"/>
    </row>
  </sheetData>
  <autoFilter ref="A4:L14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42"/>
    <col collapsed="false" customWidth="true" hidden="false" outlineLevel="0" max="3" min="3" style="1" width="13"/>
    <col collapsed="false" customWidth="true" hidden="false" outlineLevel="0" max="7" min="4" style="1" width="12"/>
  </cols>
  <sheetData>
    <row r="1" customFormat="false" ht="15" hidden="false" customHeight="true" outlineLevel="0" collapsed="false">
      <c r="A1" s="22" t="s">
        <v>765</v>
      </c>
    </row>
    <row r="3" customFormat="false" ht="15" hidden="false" customHeight="true" outlineLevel="0" collapsed="false">
      <c r="A3" s="23" t="s">
        <v>607</v>
      </c>
      <c r="B3" s="23" t="s">
        <v>608</v>
      </c>
      <c r="C3" s="23" t="s">
        <v>766</v>
      </c>
      <c r="D3" s="23" t="s">
        <v>767</v>
      </c>
      <c r="E3" s="23" t="s">
        <v>768</v>
      </c>
      <c r="F3" s="23" t="s">
        <v>769</v>
      </c>
      <c r="G3" s="23" t="s">
        <v>770</v>
      </c>
    </row>
    <row r="4" customFormat="false" ht="15" hidden="false" customHeight="true" outlineLevel="0" collapsed="false">
      <c r="A4" s="24" t="s">
        <v>22</v>
      </c>
      <c r="B4" s="24" t="str">
        <f aca="false">IFERROR(INDEX(codebook!$C:$C,MATCH($A4,codebook!$B:$B,0)),"")</f>
        <v>Inaccurate / unreliable output</v>
      </c>
      <c r="C4" s="24" t="n">
        <f aca="false">SUMPRODUCT(--ISNUMBER(SEARCH($A4,coding!$H$2:$H$146)))</f>
        <v>108</v>
      </c>
      <c r="D4" s="24" t="n">
        <f aca="false">SUMPRODUCT(--ISNUMBER(SEARCH($A4,coding!$O$2:$O$146)))</f>
        <v>106</v>
      </c>
      <c r="E4" s="24" t="n">
        <f aca="false">SUMPRODUCT(--ISNUMBER(SEARCH($A4,coding!$I$2:$I$146)))</f>
        <v>0</v>
      </c>
      <c r="F4" s="24" t="n">
        <f aca="false">SUMPRODUCT(--ISNUMBER(SEARCH($A4,coding!$J$2:$J$146)))</f>
        <v>0</v>
      </c>
      <c r="G4" s="24" t="n">
        <f aca="false">SUMPRODUCT(--ISNUMBER(SEARCH($A4,coding!$K$2:$K$146)))</f>
        <v>0</v>
      </c>
    </row>
    <row r="5" customFormat="false" ht="15" hidden="false" customHeight="true" outlineLevel="0" collapsed="false">
      <c r="A5" s="24" t="s">
        <v>46</v>
      </c>
      <c r="B5" s="24" t="str">
        <f aca="false">IFERROR(INDEX(codebook!$C:$C,MATCH($A5,codebook!$B:$B,0)),"")</f>
        <v>Weak Arabic grammar &amp; morphology</v>
      </c>
      <c r="C5" s="24" t="n">
        <f aca="false">SUMPRODUCT(--ISNUMBER(SEARCH($A5,coding!$H$2:$H$146)))</f>
        <v>56</v>
      </c>
      <c r="D5" s="24" t="n">
        <f aca="false">SUMPRODUCT(--ISNUMBER(SEARCH($A5,coding!$O$2:$O$146)))</f>
        <v>63</v>
      </c>
      <c r="E5" s="24" t="n">
        <f aca="false">SUMPRODUCT(--ISNUMBER(SEARCH($A5,coding!$I$2:$I$146)))</f>
        <v>0</v>
      </c>
      <c r="F5" s="24" t="n">
        <f aca="false">SUMPRODUCT(--ISNUMBER(SEARCH($A5,coding!$J$2:$J$146)))</f>
        <v>0</v>
      </c>
      <c r="G5" s="24" t="n">
        <f aca="false">SUMPRODUCT(--ISNUMBER(SEARCH($A5,coding!$K$2:$K$146)))</f>
        <v>0</v>
      </c>
    </row>
    <row r="6" customFormat="false" ht="15" hidden="false" customHeight="true" outlineLevel="0" collapsed="false">
      <c r="A6" s="24" t="s">
        <v>239</v>
      </c>
      <c r="B6" s="24" t="str">
        <f aca="false">IFERROR(INDEX(codebook!$C:$C,MATCH($A6,codebook!$B:$B,0)),"")</f>
        <v>Hallucinated literary attribution</v>
      </c>
      <c r="C6" s="24" t="n">
        <f aca="false">SUMPRODUCT(--ISNUMBER(SEARCH($A6,coding!$H$2:$H$146)))</f>
        <v>12</v>
      </c>
      <c r="D6" s="24" t="n">
        <f aca="false">SUMPRODUCT(--ISNUMBER(SEARCH($A6,coding!$O$2:$O$146)))</f>
        <v>13</v>
      </c>
      <c r="E6" s="24" t="n">
        <f aca="false">SUMPRODUCT(--ISNUMBER(SEARCH($A6,coding!$I$2:$I$146)))</f>
        <v>0</v>
      </c>
      <c r="F6" s="24" t="n">
        <f aca="false">SUMPRODUCT(--ISNUMBER(SEARCH($A6,coding!$J$2:$J$146)))</f>
        <v>0</v>
      </c>
      <c r="G6" s="24" t="n">
        <f aca="false">SUMPRODUCT(--ISNUMBER(SEARCH($A6,coding!$K$2:$K$146)))</f>
        <v>0</v>
      </c>
    </row>
    <row r="7" customFormat="false" ht="15" hidden="false" customHeight="true" outlineLevel="0" collapsed="false">
      <c r="A7" s="24" t="s">
        <v>569</v>
      </c>
      <c r="B7" s="24" t="str">
        <f aca="false">IFERROR(INDEX(codebook!$C:$C,MATCH($A7,codebook!$B:$B,0)),"")</f>
        <v>Fabricated / missing references</v>
      </c>
      <c r="C7" s="24" t="n">
        <f aca="false">SUMPRODUCT(--ISNUMBER(SEARCH($A7,coding!$H$2:$H$146)))</f>
        <v>20</v>
      </c>
      <c r="D7" s="24" t="n">
        <f aca="false">SUMPRODUCT(--ISNUMBER(SEARCH($A7,coding!$O$2:$O$146)))</f>
        <v>23</v>
      </c>
      <c r="E7" s="24" t="n">
        <f aca="false">SUMPRODUCT(--ISNUMBER(SEARCH($A7,coding!$I$2:$I$146)))</f>
        <v>0</v>
      </c>
      <c r="F7" s="24" t="n">
        <f aca="false">SUMPRODUCT(--ISNUMBER(SEARCH($A7,coding!$J$2:$J$146)))</f>
        <v>0</v>
      </c>
      <c r="G7" s="24" t="n">
        <f aca="false">SUMPRODUCT(--ISNUMBER(SEARCH($A7,coding!$K$2:$K$146)))</f>
        <v>0</v>
      </c>
    </row>
    <row r="8" customFormat="false" ht="15" hidden="false" customHeight="true" outlineLevel="0" collapsed="false">
      <c r="A8" s="24" t="s">
        <v>166</v>
      </c>
      <c r="B8" s="24" t="str">
        <f aca="false">IFERROR(INDEX(codebook!$C:$C,MATCH($A8,codebook!$B:$B,0)),"")</f>
        <v>Weak prompting / appraisal skill</v>
      </c>
      <c r="C8" s="24" t="n">
        <f aca="false">SUMPRODUCT(--ISNUMBER(SEARCH($A8,coding!$H$2:$H$146)))</f>
        <v>10</v>
      </c>
      <c r="D8" s="24" t="n">
        <f aca="false">SUMPRODUCT(--ISNUMBER(SEARCH($A8,coding!$O$2:$O$146)))</f>
        <v>14</v>
      </c>
      <c r="E8" s="24" t="n">
        <f aca="false">SUMPRODUCT(--ISNUMBER(SEARCH($A8,coding!$I$2:$I$146)))</f>
        <v>0</v>
      </c>
      <c r="F8" s="24" t="n">
        <f aca="false">SUMPRODUCT(--ISNUMBER(SEARCH($A8,coding!$J$2:$J$146)))</f>
        <v>0</v>
      </c>
      <c r="G8" s="24" t="n">
        <f aca="false">SUMPRODUCT(--ISNUMBER(SEARCH($A8,coding!$K$2:$K$146)))</f>
        <v>0</v>
      </c>
    </row>
    <row r="9" customFormat="false" ht="15" hidden="false" customHeight="true" outlineLevel="0" collapsed="false">
      <c r="A9" s="24" t="s">
        <v>68</v>
      </c>
      <c r="B9" s="24" t="str">
        <f aca="false">IFERROR(INDEX(codebook!$C:$C,MATCH($A9,codebook!$B:$B,0)),"")</f>
        <v>Few Arabic-supporting tools</v>
      </c>
      <c r="C9" s="24" t="n">
        <f aca="false">SUMPRODUCT(--ISNUMBER(SEARCH($A9,coding!$H$2:$H$146)))</f>
        <v>11</v>
      </c>
      <c r="D9" s="24" t="n">
        <f aca="false">SUMPRODUCT(--ISNUMBER(SEARCH($A9,coding!$O$2:$O$146)))</f>
        <v>13</v>
      </c>
      <c r="E9" s="24" t="n">
        <f aca="false">SUMPRODUCT(--ISNUMBER(SEARCH($A9,coding!$I$2:$I$146)))</f>
        <v>0</v>
      </c>
      <c r="F9" s="24" t="n">
        <f aca="false">SUMPRODUCT(--ISNUMBER(SEARCH($A9,coding!$J$2:$J$146)))</f>
        <v>0</v>
      </c>
      <c r="G9" s="24" t="n">
        <f aca="false">SUMPRODUCT(--ISNUMBER(SEARCH($A9,coding!$K$2:$K$146)))</f>
        <v>0</v>
      </c>
    </row>
    <row r="10" customFormat="false" ht="15" hidden="false" customHeight="true" outlineLevel="0" collapsed="false">
      <c r="A10" s="24" t="s">
        <v>568</v>
      </c>
      <c r="B10" s="24" t="str">
        <f aca="false">IFERROR(INDEX(codebook!$C:$C,MATCH($A10,codebook!$B:$B,0)),"")</f>
        <v>Faculty / institutional resistance</v>
      </c>
      <c r="C10" s="24" t="n">
        <f aca="false">SUMPRODUCT(--ISNUMBER(SEARCH($A10,coding!$H$2:$H$146)))</f>
        <v>2</v>
      </c>
      <c r="D10" s="24" t="n">
        <f aca="false">SUMPRODUCT(--ISNUMBER(SEARCH($A10,coding!$O$2:$O$146)))</f>
        <v>2</v>
      </c>
      <c r="E10" s="24" t="n">
        <f aca="false">SUMPRODUCT(--ISNUMBER(SEARCH($A10,coding!$I$2:$I$146)))</f>
        <v>0</v>
      </c>
      <c r="F10" s="24" t="n">
        <f aca="false">SUMPRODUCT(--ISNUMBER(SEARCH($A10,coding!$J$2:$J$146)))</f>
        <v>0</v>
      </c>
      <c r="G10" s="24" t="n">
        <f aca="false">SUMPRODUCT(--ISNUMBER(SEARCH($A10,coding!$K$2:$K$146)))</f>
        <v>0</v>
      </c>
    </row>
    <row r="11" customFormat="false" ht="15" hidden="false" customHeight="true" outlineLevel="0" collapsed="false">
      <c r="A11" s="24" t="s">
        <v>311</v>
      </c>
      <c r="B11" s="24" t="str">
        <f aca="false">IFERROR(INDEX(codebook!$C:$C,MATCH($A11,codebook!$B:$B,0)),"")</f>
        <v>Cost, limits or connectivity</v>
      </c>
      <c r="C11" s="24" t="n">
        <f aca="false">SUMPRODUCT(--ISNUMBER(SEARCH($A11,coding!$H$2:$H$146)))</f>
        <v>5</v>
      </c>
      <c r="D11" s="24" t="n">
        <f aca="false">SUMPRODUCT(--ISNUMBER(SEARCH($A11,coding!$O$2:$O$146)))</f>
        <v>9</v>
      </c>
      <c r="E11" s="24" t="n">
        <f aca="false">SUMPRODUCT(--ISNUMBER(SEARCH($A11,coding!$I$2:$I$146)))</f>
        <v>0</v>
      </c>
      <c r="F11" s="24" t="n">
        <f aca="false">SUMPRODUCT(--ISNUMBER(SEARCH($A11,coding!$J$2:$J$146)))</f>
        <v>0</v>
      </c>
      <c r="G11" s="24" t="n">
        <f aca="false">SUMPRODUCT(--ISNUMBER(SEARCH($A11,coding!$K$2:$K$146)))</f>
        <v>0</v>
      </c>
    </row>
    <row r="12" customFormat="false" ht="15" hidden="false" customHeight="true" outlineLevel="0" collapsed="false">
      <c r="A12" s="24" t="s">
        <v>33</v>
      </c>
      <c r="B12" s="24" t="str">
        <f aca="false">IFERROR(INDEX(codebook!$C:$C,MATCH($A12,codebook!$B:$B,0)),"")</f>
        <v>Other / none</v>
      </c>
      <c r="C12" s="24" t="n">
        <f aca="false">SUMPRODUCT(--ISNUMBER(SEARCH($A12,coding!$H$2:$H$146)))</f>
        <v>10</v>
      </c>
      <c r="D12" s="24" t="n">
        <f aca="false">SUMPRODUCT(--ISNUMBER(SEARCH($A12,coding!$O$2:$O$146)))</f>
        <v>9</v>
      </c>
      <c r="E12" s="24" t="n">
        <f aca="false">SUMPRODUCT(--ISNUMBER(SEARCH($A12,coding!$I$2:$I$146)))</f>
        <v>0</v>
      </c>
      <c r="F12" s="24" t="n">
        <f aca="false">SUMPRODUCT(--ISNUMBER(SEARCH($A12,coding!$J$2:$J$146)))</f>
        <v>0</v>
      </c>
      <c r="G12" s="24" t="n">
        <f aca="false">SUMPRODUCT(--ISNUMBER(SEARCH($A12,coding!$K$2:$K$146)))</f>
        <v>0</v>
      </c>
    </row>
    <row r="14" customFormat="false" ht="15" hidden="false" customHeight="true" outlineLevel="0" collapsed="false">
      <c r="A14" s="32" t="s">
        <v>771</v>
      </c>
    </row>
    <row r="15" customFormat="false" ht="15" hidden="false" customHeight="true" outlineLevel="0" collapsed="false">
      <c r="A15" s="23" t="s">
        <v>607</v>
      </c>
      <c r="B15" s="23" t="s">
        <v>608</v>
      </c>
      <c r="C15" s="23" t="s">
        <v>766</v>
      </c>
      <c r="D15" s="23" t="s">
        <v>767</v>
      </c>
      <c r="E15" s="23" t="s">
        <v>768</v>
      </c>
      <c r="F15" s="23" t="s">
        <v>769</v>
      </c>
      <c r="G15" s="23" t="s">
        <v>770</v>
      </c>
    </row>
    <row r="16" customFormat="false" ht="15" hidden="false" customHeight="true" outlineLevel="0" collapsed="false">
      <c r="A16" s="24" t="s">
        <v>20</v>
      </c>
      <c r="B16" s="24" t="str">
        <f aca="false">IFERROR(INDEX(codebook!$C:$C,MATCH($A16,codebook!$B:$B,0)),"")</f>
        <v>Dependency</v>
      </c>
      <c r="C16" s="24" t="n">
        <f aca="false">COUNTIF(coding!$C$2:$C$146,$A16)</f>
        <v>27</v>
      </c>
      <c r="D16" s="24" t="n">
        <f aca="false">COUNTIF(coding!$M$2:$M$146,$A16)</f>
        <v>28</v>
      </c>
      <c r="E16" s="24" t="n">
        <f aca="false">COUNTIF(coding!$D$2:$D$146,$A16)</f>
        <v>2</v>
      </c>
      <c r="F16" s="24" t="n">
        <f aca="false">COUNTIF(coding!$E$2:$E$146,$A16)</f>
        <v>1</v>
      </c>
      <c r="G16" s="24" t="n">
        <f aca="false">COUNTIF(coding!$F$2:$F$146,$A16)</f>
        <v>1</v>
      </c>
    </row>
    <row r="17" customFormat="false" ht="15" hidden="false" customHeight="true" outlineLevel="0" collapsed="false">
      <c r="A17" s="24" t="s">
        <v>27</v>
      </c>
      <c r="B17" s="24" t="str">
        <f aca="false">IFERROR(INDEX(codebook!$C:$C,MATCH($A17,codebook!$B:$B,0)),"")</f>
        <v>Innovation and individuality</v>
      </c>
      <c r="C17" s="24" t="n">
        <f aca="false">COUNTIF(coding!$C$2:$C$146,$A17)</f>
        <v>36</v>
      </c>
      <c r="D17" s="24" t="n">
        <f aca="false">COUNTIF(coding!$M$2:$M$146,$A17)</f>
        <v>36</v>
      </c>
      <c r="E17" s="24" t="n">
        <f aca="false">COUNTIF(coding!$D$2:$D$146,$A17)</f>
        <v>1</v>
      </c>
      <c r="F17" s="24" t="n">
        <f aca="false">COUNTIF(coding!$E$2:$E$146,$A17)</f>
        <v>2</v>
      </c>
      <c r="G17" s="24" t="n">
        <f aca="false">COUNTIF(coding!$F$2:$F$146,$A17)</f>
        <v>0</v>
      </c>
    </row>
    <row r="18" customFormat="false" ht="15" hidden="false" customHeight="true" outlineLevel="0" collapsed="false">
      <c r="A18" s="24" t="s">
        <v>26</v>
      </c>
      <c r="B18" s="24" t="str">
        <f aca="false">IFERROR(INDEX(codebook!$C:$C,MATCH($A18,codebook!$B:$B,0)),"")</f>
        <v>Conditional</v>
      </c>
      <c r="C18" s="24" t="n">
        <f aca="false">COUNTIF(coding!$C$2:$C$146,$A18)</f>
        <v>67</v>
      </c>
      <c r="D18" s="24" t="n">
        <f aca="false">COUNTIF(coding!$M$2:$M$146,$A18)</f>
        <v>71</v>
      </c>
      <c r="E18" s="24" t="n">
        <f aca="false">COUNTIF(coding!$D$2:$D$146,$A18)</f>
        <v>2</v>
      </c>
      <c r="F18" s="24" t="n">
        <f aca="false">COUNTIF(coding!$E$2:$E$146,$A18)</f>
        <v>1</v>
      </c>
      <c r="G18" s="24" t="n">
        <f aca="false">COUNTIF(coding!$F$2:$F$146,$A18)</f>
        <v>1</v>
      </c>
    </row>
    <row r="19" customFormat="false" ht="15" hidden="false" customHeight="true" outlineLevel="0" collapsed="false">
      <c r="A19" s="24" t="s">
        <v>31</v>
      </c>
      <c r="B19" s="24" t="str">
        <f aca="false">IFERROR(INDEX(codebook!$C:$C,MATCH($A19,codebook!$B:$B,0)),"")</f>
        <v>No codable stance</v>
      </c>
      <c r="C19" s="24" t="n">
        <f aca="false">COUNTIF(coding!$C$2:$C$146,$A19)</f>
        <v>14</v>
      </c>
      <c r="D19" s="24" t="n">
        <f aca="false">COUNTIF(coding!$M$2:$M$146,$A19)</f>
        <v>10</v>
      </c>
      <c r="E19" s="24" t="n">
        <f aca="false">COUNTIF(coding!$D$2:$D$146,$A19)</f>
        <v>1</v>
      </c>
      <c r="F19" s="24" t="n">
        <f aca="false">COUNTIF(coding!$E$2:$E$146,$A19)</f>
        <v>1</v>
      </c>
      <c r="G19" s="24" t="n">
        <f aca="false">COUNTIF(coding!$F$2:$F$146,$A19)</f>
        <v>0</v>
      </c>
    </row>
    <row r="21" customFormat="false" ht="15" hidden="false" customHeight="true" outlineLevel="0" collapsed="false">
      <c r="A21" s="24" t="s">
        <v>772</v>
      </c>
      <c r="C21" s="24" t="n">
        <f aca="false">SUMPRODUCT(--(coding!$C$2:$C$146=""))</f>
        <v>1</v>
      </c>
    </row>
    <row r="22" customFormat="false" ht="15" hidden="false" customHeight="true" outlineLevel="0" collapsed="false">
      <c r="A22" s="24" t="s">
        <v>773</v>
      </c>
      <c r="C22" s="24" t="n">
        <f aca="false">SUMPRODUCT(--(coding!$N$2:$N$146="OVERRIDE"))</f>
        <v>5</v>
      </c>
      <c r="D22" s="24" t="n">
        <f aca="false">SUMPRODUCT(--(coding!$P$2:$P$146="OVERRIDE"))</f>
        <v>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0"/>
    <col collapsed="false" customWidth="true" hidden="false" outlineLevel="0" max="3" min="3" style="1" width="16"/>
    <col collapsed="false" customWidth="true" hidden="false" outlineLevel="0" max="4" min="4" style="1" width="18"/>
    <col collapsed="false" customWidth="true" hidden="false" outlineLevel="0" max="5" min="5" style="1" width="12"/>
    <col collapsed="false" customWidth="true" hidden="false" outlineLevel="0" max="6" min="6" style="1" width="95"/>
  </cols>
  <sheetData>
    <row r="1" customFormat="false" ht="15" hidden="false" customHeight="true" outlineLevel="0" collapsed="false">
      <c r="A1" s="22" t="s">
        <v>774</v>
      </c>
    </row>
    <row r="2" customFormat="false" ht="15" hidden="false" customHeight="true" outlineLevel="0" collapsed="false">
      <c r="A2" s="29" t="s">
        <v>775</v>
      </c>
    </row>
    <row r="4" customFormat="false" ht="15" hidden="false" customHeight="true" outlineLevel="0" collapsed="false">
      <c r="A4" s="23" t="s">
        <v>0</v>
      </c>
      <c r="B4" s="23" t="s">
        <v>776</v>
      </c>
      <c r="C4" s="23" t="s">
        <v>766</v>
      </c>
      <c r="D4" s="23" t="s">
        <v>777</v>
      </c>
      <c r="E4" s="23" t="s">
        <v>778</v>
      </c>
      <c r="F4" s="23" t="s">
        <v>574</v>
      </c>
    </row>
    <row r="5" customFormat="false" ht="27.75" hidden="false" customHeight="true" outlineLevel="0" collapsed="false">
      <c r="A5" s="15" t="s">
        <v>37</v>
      </c>
      <c r="B5" s="15" t="s">
        <v>643</v>
      </c>
      <c r="C5" s="15" t="str">
        <f aca="false">IF(INDEX(coding!$C:$C,MATCH($A5,coding!$A:$A,0))="","(blank)",INDEX(coding!$C:$C,MATCH($A5,coding!$A:$A,0)))</f>
        <v>(blank)</v>
      </c>
      <c r="D5" s="15" t="s">
        <v>20</v>
      </c>
      <c r="E5" s="15" t="s">
        <v>23</v>
      </c>
      <c r="F5" s="15" t="s">
        <v>42</v>
      </c>
    </row>
    <row r="6" customFormat="false" ht="27.75" hidden="false" customHeight="true" outlineLevel="0" collapsed="false">
      <c r="A6" s="15" t="s">
        <v>203</v>
      </c>
      <c r="B6" s="15" t="s">
        <v>643</v>
      </c>
      <c r="C6" s="15" t="str">
        <f aca="false">IF(INDEX(coding!$C:$C,MATCH($A6,coding!$A:$A,0))="","(blank)",INDEX(coding!$C:$C,MATCH($A6,coding!$A:$A,0)))</f>
        <v>uncodable</v>
      </c>
      <c r="D6" s="15" t="s">
        <v>26</v>
      </c>
      <c r="E6" s="15" t="s">
        <v>23</v>
      </c>
      <c r="F6" s="15" t="s">
        <v>206</v>
      </c>
    </row>
    <row r="7" customFormat="false" ht="27.75" hidden="false" customHeight="true" outlineLevel="0" collapsed="false">
      <c r="A7" s="15" t="s">
        <v>226</v>
      </c>
      <c r="B7" s="15" t="s">
        <v>643</v>
      </c>
      <c r="C7" s="15" t="str">
        <f aca="false">IF(INDEX(coding!$C:$C,MATCH($A7,coding!$A:$A,0))="","(blank)",INDEX(coding!$C:$C,MATCH($A7,coding!$A:$A,0)))</f>
        <v>uncodable</v>
      </c>
      <c r="D7" s="15" t="s">
        <v>26</v>
      </c>
      <c r="E7" s="15" t="s">
        <v>23</v>
      </c>
      <c r="F7" s="15" t="s">
        <v>229</v>
      </c>
    </row>
    <row r="8" customFormat="false" ht="27.75" hidden="false" customHeight="true" outlineLevel="0" collapsed="false">
      <c r="A8" s="15" t="s">
        <v>354</v>
      </c>
      <c r="B8" s="15" t="s">
        <v>643</v>
      </c>
      <c r="C8" s="15" t="str">
        <f aca="false">IF(INDEX(coding!$C:$C,MATCH($A8,coding!$A:$A,0))="","(blank)",INDEX(coding!$C:$C,MATCH($A8,coding!$A:$A,0)))</f>
        <v>uncodable</v>
      </c>
      <c r="D8" s="15" t="s">
        <v>26</v>
      </c>
      <c r="E8" s="15" t="s">
        <v>23</v>
      </c>
      <c r="F8" s="15" t="s">
        <v>357</v>
      </c>
    </row>
    <row r="9" customFormat="false" ht="15" hidden="false" customHeight="true" outlineLevel="0" collapsed="false">
      <c r="A9" s="15" t="s">
        <v>487</v>
      </c>
      <c r="B9" s="15" t="s">
        <v>643</v>
      </c>
      <c r="C9" s="15" t="str">
        <f aca="false">IF(INDEX(coding!$C:$C,MATCH($A9,coding!$A:$A,0))="","(blank)",INDEX(coding!$C:$C,MATCH($A9,coding!$A:$A,0)))</f>
        <v>uncodable</v>
      </c>
      <c r="D9" s="15" t="s">
        <v>26</v>
      </c>
      <c r="E9" s="15" t="s">
        <v>23</v>
      </c>
      <c r="F9" s="15" t="s">
        <v>490</v>
      </c>
    </row>
    <row r="10" customFormat="false" ht="15" hidden="false" customHeight="true" outlineLevel="0" collapsed="false">
      <c r="A10" s="15" t="s">
        <v>51</v>
      </c>
      <c r="B10" s="15" t="s">
        <v>665</v>
      </c>
      <c r="C10" s="15" t="str">
        <f aca="false">IF(INDEX(coding!$H:$H,MATCH($A10,coding!$A:$A,0))="","(blank)",INDEX(coding!$H:$H,MATCH($A10,coding!$A:$A,0)))</f>
        <v>T1</v>
      </c>
      <c r="D10" s="15" t="s">
        <v>46</v>
      </c>
      <c r="E10" s="15" t="s">
        <v>23</v>
      </c>
      <c r="F10" s="15" t="s">
        <v>54</v>
      </c>
    </row>
    <row r="11" customFormat="false" ht="27.75" hidden="false" customHeight="true" outlineLevel="0" collapsed="false">
      <c r="A11" s="15" t="s">
        <v>55</v>
      </c>
      <c r="B11" s="15" t="s">
        <v>665</v>
      </c>
      <c r="C11" s="15" t="str">
        <f aca="false">IF(INDEX(coding!$H:$H,MATCH($A11,coding!$A:$A,0))="","(blank)",INDEX(coding!$H:$H,MATCH($A11,coding!$A:$A,0)))</f>
        <v>T1,T4</v>
      </c>
      <c r="D11" s="15" t="s">
        <v>58</v>
      </c>
      <c r="E11" s="15" t="s">
        <v>59</v>
      </c>
      <c r="F11" s="15" t="s">
        <v>60</v>
      </c>
    </row>
    <row r="12" customFormat="false" ht="15" hidden="false" customHeight="true" outlineLevel="0" collapsed="false">
      <c r="A12" s="15" t="s">
        <v>75</v>
      </c>
      <c r="B12" s="15" t="s">
        <v>665</v>
      </c>
      <c r="C12" s="15" t="str">
        <f aca="false">IF(INDEX(coding!$H:$H,MATCH($A12,coding!$A:$A,0))="","(blank)",INDEX(coding!$H:$H,MATCH($A12,coding!$A:$A,0)))</f>
        <v>T1</v>
      </c>
      <c r="D12" s="15" t="s">
        <v>78</v>
      </c>
      <c r="E12" s="15" t="s">
        <v>23</v>
      </c>
      <c r="F12" s="15" t="s">
        <v>79</v>
      </c>
    </row>
    <row r="13" customFormat="false" ht="27.75" hidden="false" customHeight="true" outlineLevel="0" collapsed="false">
      <c r="A13" s="15" t="s">
        <v>84</v>
      </c>
      <c r="B13" s="15" t="s">
        <v>665</v>
      </c>
      <c r="C13" s="15" t="str">
        <f aca="false">IF(INDEX(coding!$H:$H,MATCH($A13,coding!$A:$A,0))="","(blank)",INDEX(coding!$H:$H,MATCH($A13,coding!$A:$A,0)))</f>
        <v>T1</v>
      </c>
      <c r="D13" s="15" t="s">
        <v>87</v>
      </c>
      <c r="E13" s="15" t="s">
        <v>88</v>
      </c>
      <c r="F13" s="15" t="s">
        <v>89</v>
      </c>
    </row>
    <row r="14" customFormat="false" ht="15" hidden="false" customHeight="true" outlineLevel="0" collapsed="false">
      <c r="A14" s="15" t="s">
        <v>90</v>
      </c>
      <c r="B14" s="15" t="s">
        <v>665</v>
      </c>
      <c r="C14" s="15" t="str">
        <f aca="false">IF(INDEX(coding!$H:$H,MATCH($A14,coding!$A:$A,0))="","(blank)",INDEX(coding!$H:$H,MATCH($A14,coding!$A:$A,0)))</f>
        <v>T2</v>
      </c>
      <c r="D14" s="15" t="s">
        <v>93</v>
      </c>
      <c r="E14" s="15" t="s">
        <v>88</v>
      </c>
      <c r="F14" s="15" t="s">
        <v>94</v>
      </c>
    </row>
    <row r="15" customFormat="false" ht="15" hidden="false" customHeight="true" outlineLevel="0" collapsed="false">
      <c r="A15" s="15" t="s">
        <v>131</v>
      </c>
      <c r="B15" s="15" t="s">
        <v>665</v>
      </c>
      <c r="C15" s="15" t="str">
        <f aca="false">IF(INDEX(coding!$H:$H,MATCH($A15,coding!$A:$A,0))="","(blank)",INDEX(coding!$H:$H,MATCH($A15,coding!$A:$A,0)))</f>
        <v>T1,T2</v>
      </c>
      <c r="D15" s="15" t="s">
        <v>134</v>
      </c>
      <c r="E15" s="15" t="s">
        <v>23</v>
      </c>
      <c r="F15" s="15" t="s">
        <v>779</v>
      </c>
    </row>
    <row r="16" customFormat="false" ht="15" hidden="false" customHeight="true" outlineLevel="0" collapsed="false">
      <c r="A16" s="15" t="s">
        <v>136</v>
      </c>
      <c r="B16" s="15" t="s">
        <v>665</v>
      </c>
      <c r="C16" s="15" t="str">
        <f aca="false">IF(INDEX(coding!$H:$H,MATCH($A16,coding!$A:$A,0))="","(blank)",INDEX(coding!$H:$H,MATCH($A16,coding!$A:$A,0)))</f>
        <v>(blank)</v>
      </c>
      <c r="D16" s="15" t="s">
        <v>33</v>
      </c>
      <c r="E16" s="15" t="s">
        <v>23</v>
      </c>
      <c r="F16" s="15" t="s">
        <v>139</v>
      </c>
    </row>
    <row r="17" customFormat="false" ht="15" hidden="false" customHeight="true" outlineLevel="0" collapsed="false">
      <c r="A17" s="15" t="s">
        <v>156</v>
      </c>
      <c r="B17" s="15" t="s">
        <v>665</v>
      </c>
      <c r="C17" s="15" t="str">
        <f aca="false">IF(INDEX(coding!$H:$H,MATCH($A17,coding!$A:$A,0))="","(blank)",INDEX(coding!$H:$H,MATCH($A17,coding!$A:$A,0)))</f>
        <v>T1,T8</v>
      </c>
      <c r="D17" s="15" t="s">
        <v>159</v>
      </c>
      <c r="E17" s="15" t="s">
        <v>59</v>
      </c>
      <c r="F17" s="15" t="s">
        <v>160</v>
      </c>
    </row>
    <row r="18" customFormat="false" ht="27.75" hidden="false" customHeight="true" outlineLevel="0" collapsed="false">
      <c r="A18" s="15" t="s">
        <v>163</v>
      </c>
      <c r="B18" s="15" t="s">
        <v>665</v>
      </c>
      <c r="C18" s="15" t="str">
        <f aca="false">IF(INDEX(coding!$H:$H,MATCH($A18,coding!$A:$A,0))="","(blank)",INDEX(coding!$H:$H,MATCH($A18,coding!$A:$A,0)))</f>
        <v>T9</v>
      </c>
      <c r="D18" s="15" t="s">
        <v>166</v>
      </c>
      <c r="E18" s="15" t="s">
        <v>88</v>
      </c>
      <c r="F18" s="15" t="s">
        <v>780</v>
      </c>
    </row>
    <row r="19" customFormat="false" ht="15" hidden="false" customHeight="true" outlineLevel="0" collapsed="false">
      <c r="A19" s="15" t="s">
        <v>171</v>
      </c>
      <c r="B19" s="15" t="s">
        <v>665</v>
      </c>
      <c r="C19" s="15" t="str">
        <f aca="false">IF(INDEX(coding!$H:$H,MATCH($A19,coding!$A:$A,0))="","(blank)",INDEX(coding!$H:$H,MATCH($A19,coding!$A:$A,0)))</f>
        <v>(blank)</v>
      </c>
      <c r="D19" s="15" t="s">
        <v>33</v>
      </c>
      <c r="E19" s="15" t="s">
        <v>23</v>
      </c>
      <c r="F19" s="15" t="s">
        <v>174</v>
      </c>
    </row>
    <row r="20" customFormat="false" ht="15" hidden="false" customHeight="true" outlineLevel="0" collapsed="false">
      <c r="A20" s="15" t="s">
        <v>236</v>
      </c>
      <c r="B20" s="15" t="s">
        <v>665</v>
      </c>
      <c r="C20" s="15" t="str">
        <f aca="false">IF(INDEX(coding!$H:$H,MATCH($A20,coding!$A:$A,0))="","(blank)",INDEX(coding!$H:$H,MATCH($A20,coding!$A:$A,0)))</f>
        <v>T3</v>
      </c>
      <c r="D20" s="15" t="s">
        <v>50</v>
      </c>
      <c r="E20" s="15" t="s">
        <v>59</v>
      </c>
      <c r="F20" s="15" t="s">
        <v>240</v>
      </c>
    </row>
    <row r="21" customFormat="false" ht="27.75" hidden="false" customHeight="true" outlineLevel="0" collapsed="false">
      <c r="A21" s="15" t="s">
        <v>241</v>
      </c>
      <c r="B21" s="15" t="s">
        <v>665</v>
      </c>
      <c r="C21" s="15" t="str">
        <f aca="false">IF(INDEX(coding!$H:$H,MATCH($A21,coding!$A:$A,0))="","(blank)",INDEX(coding!$H:$H,MATCH($A21,coding!$A:$A,0)))</f>
        <v>T1</v>
      </c>
      <c r="D21" s="15" t="s">
        <v>40</v>
      </c>
      <c r="E21" s="15" t="s">
        <v>88</v>
      </c>
      <c r="F21" s="15" t="s">
        <v>244</v>
      </c>
    </row>
    <row r="22" customFormat="false" ht="15" hidden="false" customHeight="true" outlineLevel="0" collapsed="false">
      <c r="A22" s="15" t="s">
        <v>252</v>
      </c>
      <c r="B22" s="15" t="s">
        <v>665</v>
      </c>
      <c r="C22" s="15" t="str">
        <f aca="false">IF(INDEX(coding!$H:$H,MATCH($A22,coding!$A:$A,0))="","(blank)",INDEX(coding!$H:$H,MATCH($A22,coding!$A:$A,0)))</f>
        <v>T1</v>
      </c>
      <c r="D22" s="15" t="s">
        <v>40</v>
      </c>
      <c r="E22" s="15" t="s">
        <v>88</v>
      </c>
      <c r="F22" s="15" t="s">
        <v>254</v>
      </c>
    </row>
    <row r="23" customFormat="false" ht="15" hidden="false" customHeight="true" outlineLevel="0" collapsed="false">
      <c r="A23" s="15" t="s">
        <v>265</v>
      </c>
      <c r="B23" s="15" t="s">
        <v>665</v>
      </c>
      <c r="C23" s="15" t="str">
        <f aca="false">IF(INDEX(coding!$H:$H,MATCH($A23,coding!$A:$A,0))="","(blank)",INDEX(coding!$H:$H,MATCH($A23,coding!$A:$A,0)))</f>
        <v>T1</v>
      </c>
      <c r="D23" s="15" t="s">
        <v>46</v>
      </c>
      <c r="E23" s="15" t="s">
        <v>23</v>
      </c>
      <c r="F23" s="15" t="s">
        <v>268</v>
      </c>
    </row>
    <row r="24" customFormat="false" ht="15" hidden="false" customHeight="true" outlineLevel="0" collapsed="false">
      <c r="A24" s="15" t="s">
        <v>272</v>
      </c>
      <c r="B24" s="15" t="s">
        <v>665</v>
      </c>
      <c r="C24" s="15" t="str">
        <f aca="false">IF(INDEX(coding!$H:$H,MATCH($A24,coding!$A:$A,0))="","(blank)",INDEX(coding!$H:$H,MATCH($A24,coding!$A:$A,0)))</f>
        <v>T1,T9</v>
      </c>
      <c r="D24" s="15" t="s">
        <v>22</v>
      </c>
      <c r="E24" s="15" t="s">
        <v>23</v>
      </c>
      <c r="F24" s="15" t="s">
        <v>276</v>
      </c>
    </row>
    <row r="25" customFormat="false" ht="15" hidden="false" customHeight="true" outlineLevel="0" collapsed="false">
      <c r="A25" s="15" t="s">
        <v>309</v>
      </c>
      <c r="B25" s="15" t="s">
        <v>665</v>
      </c>
      <c r="C25" s="15" t="str">
        <f aca="false">IF(INDEX(coding!$H:$H,MATCH($A25,coding!$A:$A,0))="","(blank)",INDEX(coding!$H:$H,MATCH($A25,coding!$A:$A,0)))</f>
        <v>T9</v>
      </c>
      <c r="D25" s="15" t="s">
        <v>311</v>
      </c>
      <c r="E25" s="15" t="s">
        <v>88</v>
      </c>
      <c r="F25" s="15" t="s">
        <v>312</v>
      </c>
    </row>
    <row r="26" customFormat="false" ht="15" hidden="false" customHeight="true" outlineLevel="0" collapsed="false">
      <c r="A26" s="15" t="s">
        <v>313</v>
      </c>
      <c r="B26" s="15" t="s">
        <v>665</v>
      </c>
      <c r="C26" s="15" t="str">
        <f aca="false">IF(INDEX(coding!$H:$H,MATCH($A26,coding!$A:$A,0))="","(blank)",INDEX(coding!$H:$H,MATCH($A26,coding!$A:$A,0)))</f>
        <v>T1</v>
      </c>
      <c r="D26" s="15" t="s">
        <v>40</v>
      </c>
      <c r="E26" s="15" t="s">
        <v>59</v>
      </c>
      <c r="F26" s="15" t="s">
        <v>316</v>
      </c>
    </row>
    <row r="27" customFormat="false" ht="15" hidden="false" customHeight="true" outlineLevel="0" collapsed="false">
      <c r="A27" s="15" t="s">
        <v>384</v>
      </c>
      <c r="B27" s="15" t="s">
        <v>665</v>
      </c>
      <c r="C27" s="15" t="str">
        <f aca="false">IF(INDEX(coding!$H:$H,MATCH($A27,coding!$A:$A,0))="","(blank)",INDEX(coding!$H:$H,MATCH($A27,coding!$A:$A,0)))</f>
        <v>T1,T2,T4</v>
      </c>
      <c r="D27" s="15" t="s">
        <v>110</v>
      </c>
      <c r="E27" s="15" t="s">
        <v>88</v>
      </c>
      <c r="F27" s="15" t="s">
        <v>387</v>
      </c>
    </row>
    <row r="28" customFormat="false" ht="15" hidden="false" customHeight="true" outlineLevel="0" collapsed="false">
      <c r="A28" s="15" t="s">
        <v>391</v>
      </c>
      <c r="B28" s="15" t="s">
        <v>665</v>
      </c>
      <c r="C28" s="15" t="str">
        <f aca="false">IF(INDEX(coding!$H:$H,MATCH($A28,coding!$A:$A,0))="","(blank)",INDEX(coding!$H:$H,MATCH($A28,coding!$A:$A,0)))</f>
        <v>(blank)</v>
      </c>
      <c r="D28" s="15" t="s">
        <v>33</v>
      </c>
      <c r="E28" s="15" t="s">
        <v>23</v>
      </c>
      <c r="F28" s="15" t="s">
        <v>174</v>
      </c>
    </row>
    <row r="29" customFormat="false" ht="15" hidden="false" customHeight="true" outlineLevel="0" collapsed="false">
      <c r="A29" s="15" t="s">
        <v>400</v>
      </c>
      <c r="B29" s="15" t="s">
        <v>665</v>
      </c>
      <c r="C29" s="15" t="str">
        <f aca="false">IF(INDEX(coding!$H:$H,MATCH($A29,coding!$A:$A,0))="","(blank)",INDEX(coding!$H:$H,MATCH($A29,coding!$A:$A,0)))</f>
        <v>(blank)</v>
      </c>
      <c r="D29" s="15" t="s">
        <v>33</v>
      </c>
      <c r="E29" s="15" t="s">
        <v>23</v>
      </c>
      <c r="F29" s="15" t="s">
        <v>403</v>
      </c>
    </row>
    <row r="30" customFormat="false" ht="15" hidden="false" customHeight="true" outlineLevel="0" collapsed="false">
      <c r="A30" s="15" t="s">
        <v>422</v>
      </c>
      <c r="B30" s="15" t="s">
        <v>665</v>
      </c>
      <c r="C30" s="15" t="str">
        <f aca="false">IF(INDEX(coding!$H:$H,MATCH($A30,coding!$A:$A,0))="","(blank)",INDEX(coding!$H:$H,MATCH($A30,coding!$A:$A,0)))</f>
        <v>T5,T9</v>
      </c>
      <c r="D30" s="15" t="s">
        <v>166</v>
      </c>
      <c r="E30" s="15" t="s">
        <v>23</v>
      </c>
      <c r="F30" s="15" t="s">
        <v>426</v>
      </c>
    </row>
    <row r="31" customFormat="false" ht="27.75" hidden="false" customHeight="true" outlineLevel="0" collapsed="false">
      <c r="A31" s="15" t="s">
        <v>427</v>
      </c>
      <c r="B31" s="15" t="s">
        <v>665</v>
      </c>
      <c r="C31" s="15" t="str">
        <f aca="false">IF(INDEX(coding!$H:$H,MATCH($A31,coding!$A:$A,0))="","(blank)",INDEX(coding!$H:$H,MATCH($A31,coding!$A:$A,0)))</f>
        <v>T1,T2</v>
      </c>
      <c r="D31" s="15" t="s">
        <v>134</v>
      </c>
      <c r="E31" s="15" t="s">
        <v>59</v>
      </c>
      <c r="F31" s="15" t="s">
        <v>781</v>
      </c>
    </row>
    <row r="32" customFormat="false" ht="15" hidden="false" customHeight="true" outlineLevel="0" collapsed="false">
      <c r="A32" s="15" t="s">
        <v>431</v>
      </c>
      <c r="B32" s="15" t="s">
        <v>665</v>
      </c>
      <c r="C32" s="15" t="str">
        <f aca="false">IF(INDEX(coding!$H:$H,MATCH($A32,coding!$A:$A,0))="","(blank)",INDEX(coding!$H:$H,MATCH($A32,coding!$A:$A,0)))</f>
        <v>T1</v>
      </c>
      <c r="D32" s="15" t="s">
        <v>40</v>
      </c>
      <c r="E32" s="15" t="s">
        <v>59</v>
      </c>
      <c r="F32" s="15" t="s">
        <v>434</v>
      </c>
    </row>
    <row r="33" customFormat="false" ht="27.75" hidden="false" customHeight="true" outlineLevel="0" collapsed="false">
      <c r="A33" s="15" t="s">
        <v>435</v>
      </c>
      <c r="B33" s="15" t="s">
        <v>665</v>
      </c>
      <c r="C33" s="15" t="str">
        <f aca="false">IF(INDEX(coding!$H:$H,MATCH($A33,coding!$A:$A,0))="","(blank)",INDEX(coding!$H:$H,MATCH($A33,coding!$A:$A,0)))</f>
        <v>T1</v>
      </c>
      <c r="D33" s="15" t="s">
        <v>166</v>
      </c>
      <c r="E33" s="15" t="s">
        <v>88</v>
      </c>
      <c r="F33" s="15" t="s">
        <v>438</v>
      </c>
    </row>
    <row r="34" customFormat="false" ht="15" hidden="false" customHeight="true" outlineLevel="0" collapsed="false">
      <c r="A34" s="15" t="s">
        <v>445</v>
      </c>
      <c r="B34" s="15" t="s">
        <v>665</v>
      </c>
      <c r="C34" s="15" t="str">
        <f aca="false">IF(INDEX(coding!$H:$H,MATCH($A34,coding!$A:$A,0))="","(blank)",INDEX(coding!$H:$H,MATCH($A34,coding!$A:$A,0)))</f>
        <v>T1</v>
      </c>
      <c r="D34" s="15" t="s">
        <v>29</v>
      </c>
      <c r="E34" s="15" t="s">
        <v>23</v>
      </c>
      <c r="F34" s="15" t="s">
        <v>448</v>
      </c>
    </row>
    <row r="35" customFormat="false" ht="15" hidden="false" customHeight="true" outlineLevel="0" collapsed="false">
      <c r="A35" s="15" t="s">
        <v>449</v>
      </c>
      <c r="B35" s="15" t="s">
        <v>665</v>
      </c>
      <c r="C35" s="15" t="str">
        <f aca="false">IF(INDEX(coding!$H:$H,MATCH($A35,coding!$A:$A,0))="","(blank)",INDEX(coding!$H:$H,MATCH($A35,coding!$A:$A,0)))</f>
        <v>T9</v>
      </c>
      <c r="D35" s="15" t="s">
        <v>166</v>
      </c>
      <c r="E35" s="15" t="s">
        <v>88</v>
      </c>
      <c r="F35" s="15" t="s">
        <v>452</v>
      </c>
    </row>
    <row r="36" customFormat="false" ht="15" hidden="false" customHeight="true" outlineLevel="0" collapsed="false">
      <c r="A36" s="15" t="s">
        <v>453</v>
      </c>
      <c r="B36" s="15" t="s">
        <v>665</v>
      </c>
      <c r="C36" s="15" t="str">
        <f aca="false">IF(INDEX(coding!$H:$H,MATCH($A36,coding!$A:$A,0))="","(blank)",INDEX(coding!$H:$H,MATCH($A36,coding!$A:$A,0)))</f>
        <v>T2</v>
      </c>
      <c r="D36" s="15" t="s">
        <v>83</v>
      </c>
      <c r="E36" s="15" t="s">
        <v>59</v>
      </c>
      <c r="F36" s="15" t="s">
        <v>456</v>
      </c>
    </row>
    <row r="37" customFormat="false" ht="27.75" hidden="false" customHeight="true" outlineLevel="0" collapsed="false">
      <c r="A37" s="15" t="s">
        <v>469</v>
      </c>
      <c r="B37" s="15" t="s">
        <v>665</v>
      </c>
      <c r="C37" s="15" t="str">
        <f aca="false">IF(INDEX(coding!$H:$H,MATCH($A37,coding!$A:$A,0))="","(blank)",INDEX(coding!$H:$H,MATCH($A37,coding!$A:$A,0)))</f>
        <v>T1,T5</v>
      </c>
      <c r="D37" s="15" t="s">
        <v>22</v>
      </c>
      <c r="E37" s="15" t="s">
        <v>88</v>
      </c>
      <c r="F37" s="15" t="s">
        <v>472</v>
      </c>
    </row>
    <row r="38" customFormat="false" ht="15" hidden="false" customHeight="true" outlineLevel="0" collapsed="false">
      <c r="A38" s="15" t="s">
        <v>473</v>
      </c>
      <c r="B38" s="15" t="s">
        <v>665</v>
      </c>
      <c r="C38" s="15" t="str">
        <f aca="false">IF(INDEX(coding!$H:$H,MATCH($A38,coding!$A:$A,0))="","(blank)",INDEX(coding!$H:$H,MATCH($A38,coding!$A:$A,0)))</f>
        <v>T2</v>
      </c>
      <c r="D38" s="15" t="s">
        <v>476</v>
      </c>
      <c r="E38" s="15" t="s">
        <v>59</v>
      </c>
      <c r="F38" s="15" t="s">
        <v>477</v>
      </c>
    </row>
    <row r="39" customFormat="false" ht="15" hidden="false" customHeight="true" outlineLevel="0" collapsed="false">
      <c r="A39" s="15" t="s">
        <v>481</v>
      </c>
      <c r="B39" s="15" t="s">
        <v>665</v>
      </c>
      <c r="C39" s="15" t="str">
        <f aca="false">IF(INDEX(coding!$H:$H,MATCH($A39,coding!$A:$A,0))="","(blank)",INDEX(coding!$H:$H,MATCH($A39,coding!$A:$A,0)))</f>
        <v>T1</v>
      </c>
      <c r="D39" s="15" t="s">
        <v>87</v>
      </c>
      <c r="E39" s="15" t="s">
        <v>88</v>
      </c>
      <c r="F39" s="15" t="s">
        <v>483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55"/>
    <col collapsed="false" customWidth="true" hidden="false" outlineLevel="0" max="6" min="3" style="1" width="14"/>
    <col collapsed="false" customWidth="true" hidden="false" outlineLevel="0" max="7" min="7" style="1" width="60"/>
  </cols>
  <sheetData>
    <row r="1" customFormat="false" ht="15" hidden="false" customHeight="true" outlineLevel="0" collapsed="false">
      <c r="A1" s="22" t="s">
        <v>782</v>
      </c>
    </row>
    <row r="2" customFormat="false" ht="45" hidden="false" customHeight="true" outlineLevel="0" collapsed="false">
      <c r="A2" s="35" t="s">
        <v>783</v>
      </c>
      <c r="B2" s="35"/>
      <c r="C2" s="35"/>
      <c r="D2" s="35"/>
      <c r="E2" s="35"/>
      <c r="F2" s="35"/>
      <c r="G2" s="35"/>
    </row>
    <row r="4" customFormat="false" ht="15" hidden="false" customHeight="true" outlineLevel="0" collapsed="false">
      <c r="A4" s="23" t="s">
        <v>0</v>
      </c>
      <c r="B4" s="23" t="s">
        <v>1</v>
      </c>
      <c r="C4" s="23" t="s">
        <v>766</v>
      </c>
      <c r="D4" s="23" t="s">
        <v>784</v>
      </c>
      <c r="E4" s="23" t="s">
        <v>785</v>
      </c>
      <c r="F4" s="23" t="s">
        <v>767</v>
      </c>
      <c r="G4" s="23" t="s">
        <v>564</v>
      </c>
    </row>
    <row r="5" customFormat="false" ht="15" hidden="false" customHeight="true" outlineLevel="0" collapsed="false">
      <c r="A5" s="15" t="s">
        <v>18</v>
      </c>
      <c r="B5" s="15" t="str">
        <f aca="false">INDEX(coding!$B:$B,MATCH($A5,coding!$A:$A,0))</f>
        <v>الاعتمادية</v>
      </c>
      <c r="C5" s="15" t="str">
        <f aca="false">INDEX(coding!$C:$C,MATCH($A5,coding!$A:$A,0))</f>
        <v>dependency</v>
      </c>
      <c r="D5" s="15" t="str">
        <f aca="false">INDEX(coding!$D:$D,MATCH($A5,coding!$A:$A,0))</f>
        <v>dependency</v>
      </c>
      <c r="E5" s="15" t="str">
        <f aca="false">INDEX(coding!$E:$E,MATCH($A5,coding!$A:$A,0))</f>
        <v>dependency</v>
      </c>
      <c r="F5" s="15" t="str">
        <f aca="false">INDEX(coding!$M:$M,MATCH($A5,coding!$A:$A,0))</f>
        <v>dependency</v>
      </c>
      <c r="G5" s="15" t="s">
        <v>786</v>
      </c>
    </row>
    <row r="6" customFormat="false" ht="27.75" hidden="false" customHeight="true" outlineLevel="0" collapsed="false">
      <c r="A6" s="15" t="s">
        <v>24</v>
      </c>
      <c r="B6" s="15" t="str">
        <f aca="false">INDEX(coding!$B:$B,MATCH($A6,coding!$A:$A,0))</f>
        <v>يؤدي إلى الاعتمادية</v>
      </c>
      <c r="C6" s="15" t="str">
        <f aca="false">INDEX(coding!$C:$C,MATCH($A6,coding!$A:$A,0))</f>
        <v>dependency</v>
      </c>
      <c r="D6" s="15" t="str">
        <f aca="false">INDEX(coding!$D:$D,MATCH($A6,coding!$A:$A,0))</f>
        <v>conditional</v>
      </c>
      <c r="E6" s="15" t="str">
        <f aca="false">INDEX(coding!$E:$E,MATCH($A6,coding!$A:$A,0))</f>
        <v>innovation</v>
      </c>
      <c r="F6" s="15" t="str">
        <f aca="false">INDEX(coding!$M:$M,MATCH($A6,coding!$A:$A,0))</f>
        <v>dependency</v>
      </c>
      <c r="G6" s="15" t="s">
        <v>787</v>
      </c>
    </row>
    <row r="7" customFormat="false" ht="27.75" hidden="false" customHeight="true" outlineLevel="0" collapsed="false">
      <c r="A7" s="15" t="s">
        <v>30</v>
      </c>
      <c r="B7" s="15" t="str">
        <f aca="false">INDEX(coding!$B:$B,MATCH($A7,coding!$A:$A,0))</f>
        <v>يؤدي إلى الاعتمادية</v>
      </c>
      <c r="C7" s="15" t="str">
        <f aca="false">INDEX(coding!$C:$C,MATCH($A7,coding!$A:$A,0))</f>
        <v>dependency</v>
      </c>
      <c r="D7" s="15" t="str">
        <f aca="false">INDEX(coding!$D:$D,MATCH($A7,coding!$A:$A,0))</f>
        <v>uncodable</v>
      </c>
      <c r="E7" s="15" t="str">
        <f aca="false">INDEX(coding!$E:$E,MATCH($A7,coding!$A:$A,0))</f>
        <v>uncodable</v>
      </c>
      <c r="F7" s="15" t="str">
        <f aca="false">INDEX(coding!$M:$M,MATCH($A7,coding!$A:$A,0))</f>
        <v>dependency</v>
      </c>
      <c r="G7" s="15" t="s">
        <v>788</v>
      </c>
    </row>
    <row r="8" customFormat="false" ht="27.75" hidden="false" customHeight="true" outlineLevel="0" collapsed="false">
      <c r="A8" s="15" t="s">
        <v>34</v>
      </c>
      <c r="B8" s="15" t="str">
        <f aca="false">INDEX(coding!$B:$B,MATCH($A8,coding!$A:$A,0))</f>
        <v>إذا زاد استخدامه عن حده فيؤدي للاعتمادية</v>
      </c>
      <c r="C8" s="15" t="str">
        <f aca="false">INDEX(coding!$C:$C,MATCH($A8,coding!$A:$A,0))</f>
        <v>conditional</v>
      </c>
      <c r="D8" s="15" t="str">
        <f aca="false">INDEX(coding!$D:$D,MATCH($A8,coding!$A:$A,0))</f>
        <v>dependency</v>
      </c>
      <c r="E8" s="15" t="str">
        <f aca="false">INDEX(coding!$E:$E,MATCH($A8,coding!$A:$A,0))</f>
        <v>innovation</v>
      </c>
      <c r="F8" s="15" t="str">
        <f aca="false">INDEX(coding!$M:$M,MATCH($A8,coding!$A:$A,0))</f>
        <v>conditional</v>
      </c>
      <c r="G8" s="15" t="s">
        <v>789</v>
      </c>
    </row>
    <row r="9" customFormat="false" ht="41.25" hidden="false" customHeight="true" outlineLevel="0" collapsed="false">
      <c r="A9" s="15" t="s">
        <v>37</v>
      </c>
      <c r="B9" s="15" t="str">
        <f aca="false">INDEX(coding!$B:$B,MATCH($A9,coding!$A:$A,0))</f>
        <v>يهدم الابتكار والفردية</v>
      </c>
      <c r="C9" s="15" t="n">
        <f aca="false">INDEX(coding!$C:$C,MATCH($A9,coding!$A:$A,0))</f>
        <v>0</v>
      </c>
      <c r="D9" s="15" t="str">
        <f aca="false">INDEX(coding!$D:$D,MATCH($A9,coding!$A:$A,0))</f>
        <v>innovation</v>
      </c>
      <c r="E9" s="15" t="str">
        <f aca="false">INDEX(coding!$E:$E,MATCH($A9,coding!$A:$A,0))</f>
        <v>conditional</v>
      </c>
      <c r="F9" s="15" t="str">
        <f aca="false">INDEX(coding!$M:$M,MATCH($A9,coding!$A:$A,0))</f>
        <v>dependency</v>
      </c>
      <c r="G9" s="15" t="s">
        <v>790</v>
      </c>
    </row>
    <row r="10" customFormat="false" ht="27.75" hidden="false" customHeight="true" outlineLevel="0" collapsed="false">
      <c r="A10" s="15" t="s">
        <v>43</v>
      </c>
      <c r="B10" s="15" t="str">
        <f aca="false">INDEX(coding!$B:$B,MATCH($A10,coding!$A:$A,0))</f>
        <v>يعزز الابتكار الفردي</v>
      </c>
      <c r="C10" s="15" t="str">
        <f aca="false">INDEX(coding!$C:$C,MATCH($A10,coding!$A:$A,0))</f>
        <v>innovation</v>
      </c>
      <c r="D10" s="15" t="str">
        <f aca="false">INDEX(coding!$D:$D,MATCH($A10,coding!$A:$A,0))</f>
        <v>conditional</v>
      </c>
      <c r="E10" s="15" t="n">
        <f aca="false">INDEX(coding!$E:$E,MATCH($A10,coding!$A:$A,0))</f>
        <v>0</v>
      </c>
      <c r="F10" s="15" t="str">
        <f aca="false">INDEX(coding!$M:$M,MATCH($A10,coding!$A:$A,0))</f>
        <v>innovation</v>
      </c>
      <c r="G10" s="15" t="s">
        <v>791</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1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5"/>
  </cols>
  <sheetData>
    <row r="1" customFormat="false" ht="15" hidden="false" customHeight="true" outlineLevel="0" collapsed="false">
      <c r="A1" s="32" t="s">
        <v>0</v>
      </c>
      <c r="B1" s="23" t="s">
        <v>792</v>
      </c>
      <c r="C1" s="23" t="s">
        <v>793</v>
      </c>
      <c r="D1" s="23" t="s">
        <v>794</v>
      </c>
      <c r="E1" s="23" t="s">
        <v>795</v>
      </c>
      <c r="F1" s="23" t="s">
        <v>796</v>
      </c>
      <c r="G1" s="23" t="s">
        <v>797</v>
      </c>
      <c r="H1" s="23" t="s">
        <v>798</v>
      </c>
      <c r="I1" s="23" t="s">
        <v>799</v>
      </c>
      <c r="J1" s="23" t="s">
        <v>800</v>
      </c>
      <c r="K1" s="23" t="s">
        <v>801</v>
      </c>
      <c r="L1" s="23" t="s">
        <v>802</v>
      </c>
      <c r="M1" s="23" t="s">
        <v>803</v>
      </c>
      <c r="N1" s="23" t="s">
        <v>804</v>
      </c>
      <c r="O1" s="23" t="s">
        <v>805</v>
      </c>
      <c r="P1" s="23" t="s">
        <v>806</v>
      </c>
      <c r="Q1" s="23" t="s">
        <v>807</v>
      </c>
      <c r="R1" s="23" t="s">
        <v>808</v>
      </c>
      <c r="S1" s="23" t="s">
        <v>809</v>
      </c>
      <c r="T1" s="23" t="s">
        <v>810</v>
      </c>
      <c r="U1" s="23" t="s">
        <v>811</v>
      </c>
      <c r="V1" s="23" t="s">
        <v>812</v>
      </c>
      <c r="W1" s="23" t="s">
        <v>813</v>
      </c>
      <c r="X1" s="23" t="s">
        <v>814</v>
      </c>
      <c r="Y1" s="23" t="s">
        <v>815</v>
      </c>
      <c r="Z1" s="23" t="s">
        <v>816</v>
      </c>
      <c r="AA1" s="23" t="s">
        <v>817</v>
      </c>
      <c r="AB1" s="23" t="s">
        <v>818</v>
      </c>
      <c r="AC1" s="23" t="s">
        <v>819</v>
      </c>
      <c r="AD1" s="23" t="s">
        <v>820</v>
      </c>
      <c r="AE1" s="23" t="s">
        <v>821</v>
      </c>
      <c r="AF1" s="23" t="s">
        <v>822</v>
      </c>
      <c r="AG1" s="23" t="s">
        <v>823</v>
      </c>
      <c r="AH1" s="23" t="s">
        <v>824</v>
      </c>
      <c r="AI1" s="23" t="s">
        <v>825</v>
      </c>
      <c r="AJ1" s="23" t="s">
        <v>826</v>
      </c>
      <c r="AK1" s="23" t="s">
        <v>827</v>
      </c>
    </row>
    <row r="2" customFormat="false" ht="15" hidden="false" customHeight="true" outlineLevel="0" collapsed="false">
      <c r="A2" s="1" t="str">
        <f aca="false">coding!$A2</f>
        <v>P001</v>
      </c>
      <c r="B2" s="1" t="n">
        <f aca="false">IF(coding!$I2="",0,1)</f>
        <v>0</v>
      </c>
      <c r="C2" s="1" t="n">
        <f aca="false">IF(coding!$J2="",0,1)</f>
        <v>0</v>
      </c>
      <c r="D2" s="1" t="n">
        <f aca="false">IF(coding!$O2="",0,1)</f>
        <v>1</v>
      </c>
      <c r="E2" s="1" t="n">
        <f aca="false">IF(coding!$I2="",0,IF(ISNUMBER(SEARCH("T1",coding!$I2)),1,0))</f>
        <v>0</v>
      </c>
      <c r="F2" s="1" t="n">
        <f aca="false">IF(coding!$I2="",0,IF(ISNUMBER(SEARCH("T2",coding!$I2)),1,0))</f>
        <v>0</v>
      </c>
      <c r="G2" s="1" t="n">
        <f aca="false">IF(coding!$I2="",0,IF(ISNUMBER(SEARCH("T3",coding!$I2)),1,0))</f>
        <v>0</v>
      </c>
      <c r="H2" s="1" t="n">
        <f aca="false">IF(coding!$I2="",0,IF(ISNUMBER(SEARCH("T4",coding!$I2)),1,0))</f>
        <v>0</v>
      </c>
      <c r="I2" s="1" t="n">
        <f aca="false">IF(coding!$I2="",0,IF(ISNUMBER(SEARCH("T5",coding!$I2)),1,0))</f>
        <v>0</v>
      </c>
      <c r="J2" s="1" t="n">
        <f aca="false">IF(coding!$I2="",0,IF(ISNUMBER(SEARCH("T6",coding!$I2)),1,0))</f>
        <v>0</v>
      </c>
      <c r="K2" s="1" t="n">
        <f aca="false">IF(coding!$I2="",0,IF(ISNUMBER(SEARCH("T7",coding!$I2)),1,0))</f>
        <v>0</v>
      </c>
      <c r="L2" s="1" t="n">
        <f aca="false">IF(coding!$I2="",0,IF(ISNUMBER(SEARCH("T8",coding!$I2)),1,0))</f>
        <v>0</v>
      </c>
      <c r="M2" s="1" t="n">
        <f aca="false">IF(coding!$I2="",0,IF(ISNUMBER(SEARCH("T9",coding!$I2)),1,0))</f>
        <v>0</v>
      </c>
      <c r="N2" s="1" t="n">
        <f aca="false">IF(coding!$J2="",0,IF(ISNUMBER(SEARCH("T1",coding!$J2)),1,0))</f>
        <v>0</v>
      </c>
      <c r="O2" s="1" t="n">
        <f aca="false">IF(coding!$J2="",0,IF(ISNUMBER(SEARCH("T2",coding!$J2)),1,0))</f>
        <v>0</v>
      </c>
      <c r="P2" s="1" t="n">
        <f aca="false">IF(coding!$J2="",0,IF(ISNUMBER(SEARCH("T3",coding!$J2)),1,0))</f>
        <v>0</v>
      </c>
      <c r="Q2" s="1" t="n">
        <f aca="false">IF(coding!$J2="",0,IF(ISNUMBER(SEARCH("T4",coding!$J2)),1,0))</f>
        <v>0</v>
      </c>
      <c r="R2" s="1" t="n">
        <f aca="false">IF(coding!$J2="",0,IF(ISNUMBER(SEARCH("T5",coding!$J2)),1,0))</f>
        <v>0</v>
      </c>
      <c r="S2" s="1" t="n">
        <f aca="false">IF(coding!$J2="",0,IF(ISNUMBER(SEARCH("T6",coding!$J2)),1,0))</f>
        <v>0</v>
      </c>
      <c r="T2" s="1" t="n">
        <f aca="false">IF(coding!$J2="",0,IF(ISNUMBER(SEARCH("T7",coding!$J2)),1,0))</f>
        <v>0</v>
      </c>
      <c r="U2" s="1" t="n">
        <f aca="false">IF(coding!$J2="",0,IF(ISNUMBER(SEARCH("T8",coding!$J2)),1,0))</f>
        <v>0</v>
      </c>
      <c r="V2" s="1" t="n">
        <f aca="false">IF(coding!$J2="",0,IF(ISNUMBER(SEARCH("T9",coding!$J2)),1,0))</f>
        <v>0</v>
      </c>
      <c r="W2" s="1" t="n">
        <f aca="false">IF(coding!$O2="",0,IF(ISNUMBER(SEARCH("T1",coding!$O2)),1,0))</f>
        <v>1</v>
      </c>
      <c r="X2" s="1" t="n">
        <f aca="false">IF(coding!$O2="",0,IF(ISNUMBER(SEARCH("T2",coding!$O2)),1,0))</f>
        <v>0</v>
      </c>
      <c r="Y2" s="1" t="n">
        <f aca="false">IF(coding!$O2="",0,IF(ISNUMBER(SEARCH("T3",coding!$O2)),1,0))</f>
        <v>0</v>
      </c>
      <c r="Z2" s="1" t="n">
        <f aca="false">IF(coding!$O2="",0,IF(ISNUMBER(SEARCH("T4",coding!$O2)),1,0))</f>
        <v>0</v>
      </c>
      <c r="AA2" s="1" t="n">
        <f aca="false">IF(coding!$O2="",0,IF(ISNUMBER(SEARCH("T5",coding!$O2)),1,0))</f>
        <v>0</v>
      </c>
      <c r="AB2" s="1" t="n">
        <f aca="false">IF(coding!$O2="",0,IF(ISNUMBER(SEARCH("T6",coding!$O2)),1,0))</f>
        <v>0</v>
      </c>
      <c r="AC2" s="1" t="n">
        <f aca="false">IF(coding!$O2="",0,IF(ISNUMBER(SEARCH("T7",coding!$O2)),1,0))</f>
        <v>0</v>
      </c>
      <c r="AD2" s="1" t="n">
        <f aca="false">IF(coding!$O2="",0,IF(ISNUMBER(SEARCH("T8",coding!$O2)),1,0))</f>
        <v>0</v>
      </c>
      <c r="AE2" s="1" t="n">
        <f aca="false">IF(coding!$O2="",0,IF(ISNUMBER(SEARCH("T9",coding!$O2)),1,0))</f>
        <v>0</v>
      </c>
      <c r="AF2" s="1" t="n">
        <f aca="false">SUMPRODUCT($E2:$M2,$N2:$V2)</f>
        <v>0</v>
      </c>
      <c r="AG2" s="1" t="n">
        <f aca="false">SUMPRODUCT(--(($E2:$M2+$N2:$V2)&gt;0))</f>
        <v>0</v>
      </c>
      <c r="AH2" s="1" t="str">
        <f aca="false">IF(AND($B2=1,$C2=1),IF($AG2=0,1,$AF2/$AG2),"")</f>
        <v/>
      </c>
      <c r="AI2" s="1" t="str">
        <f aca="false">IF(AND($B2=1,$C2=1),IF(coding!$I2=coding!$J2,1,0),"")</f>
        <v/>
      </c>
      <c r="AJ2" s="1" t="str">
        <f aca="false">IF($B2=1,IF(SUMPRODUCT(--(($E2:$M2+$W2:$AE2)&gt;0))=0,1,SUMPRODUCT($E2:$M2,$W2:$AE2)/SUMPRODUCT(--(($E2:$M2+$W2:$AE2)&gt;0))),"")</f>
        <v/>
      </c>
      <c r="AK2" s="1" t="str">
        <f aca="false">IF($C2=1,IF(SUMPRODUCT(--(($N2:$V2+$W2:$AE2)&gt;0))=0,1,SUMPRODUCT($N2:$V2,$W2:$AE2)/SUMPRODUCT(--(($N2:$V2+$W2:$AE2)&gt;0))),"")</f>
        <v/>
      </c>
    </row>
    <row r="3" customFormat="false" ht="15" hidden="false" customHeight="true" outlineLevel="0" collapsed="false">
      <c r="A3" s="1" t="str">
        <f aca="false">coding!$A3</f>
        <v>P002</v>
      </c>
      <c r="B3" s="1" t="n">
        <f aca="false">IF(coding!$I3="",0,1)</f>
        <v>0</v>
      </c>
      <c r="C3" s="1" t="n">
        <f aca="false">IF(coding!$J3="",0,1)</f>
        <v>0</v>
      </c>
      <c r="D3" s="1" t="n">
        <f aca="false">IF(coding!$O3="",0,1)</f>
        <v>1</v>
      </c>
      <c r="E3" s="1" t="n">
        <f aca="false">IF(coding!$I3="",0,IF(ISNUMBER(SEARCH("T1",coding!$I3)),1,0))</f>
        <v>0</v>
      </c>
      <c r="F3" s="1" t="n">
        <f aca="false">IF(coding!$I3="",0,IF(ISNUMBER(SEARCH("T2",coding!$I3)),1,0))</f>
        <v>0</v>
      </c>
      <c r="G3" s="1" t="n">
        <f aca="false">IF(coding!$I3="",0,IF(ISNUMBER(SEARCH("T3",coding!$I3)),1,0))</f>
        <v>0</v>
      </c>
      <c r="H3" s="1" t="n">
        <f aca="false">IF(coding!$I3="",0,IF(ISNUMBER(SEARCH("T4",coding!$I3)),1,0))</f>
        <v>0</v>
      </c>
      <c r="I3" s="1" t="n">
        <f aca="false">IF(coding!$I3="",0,IF(ISNUMBER(SEARCH("T5",coding!$I3)),1,0))</f>
        <v>0</v>
      </c>
      <c r="J3" s="1" t="n">
        <f aca="false">IF(coding!$I3="",0,IF(ISNUMBER(SEARCH("T6",coding!$I3)),1,0))</f>
        <v>0</v>
      </c>
      <c r="K3" s="1" t="n">
        <f aca="false">IF(coding!$I3="",0,IF(ISNUMBER(SEARCH("T7",coding!$I3)),1,0))</f>
        <v>0</v>
      </c>
      <c r="L3" s="1" t="n">
        <f aca="false">IF(coding!$I3="",0,IF(ISNUMBER(SEARCH("T8",coding!$I3)),1,0))</f>
        <v>0</v>
      </c>
      <c r="M3" s="1" t="n">
        <f aca="false">IF(coding!$I3="",0,IF(ISNUMBER(SEARCH("T9",coding!$I3)),1,0))</f>
        <v>0</v>
      </c>
      <c r="N3" s="1" t="n">
        <f aca="false">IF(coding!$J3="",0,IF(ISNUMBER(SEARCH("T1",coding!$J3)),1,0))</f>
        <v>0</v>
      </c>
      <c r="O3" s="1" t="n">
        <f aca="false">IF(coding!$J3="",0,IF(ISNUMBER(SEARCH("T2",coding!$J3)),1,0))</f>
        <v>0</v>
      </c>
      <c r="P3" s="1" t="n">
        <f aca="false">IF(coding!$J3="",0,IF(ISNUMBER(SEARCH("T3",coding!$J3)),1,0))</f>
        <v>0</v>
      </c>
      <c r="Q3" s="1" t="n">
        <f aca="false">IF(coding!$J3="",0,IF(ISNUMBER(SEARCH("T4",coding!$J3)),1,0))</f>
        <v>0</v>
      </c>
      <c r="R3" s="1" t="n">
        <f aca="false">IF(coding!$J3="",0,IF(ISNUMBER(SEARCH("T5",coding!$J3)),1,0))</f>
        <v>0</v>
      </c>
      <c r="S3" s="1" t="n">
        <f aca="false">IF(coding!$J3="",0,IF(ISNUMBER(SEARCH("T6",coding!$J3)),1,0))</f>
        <v>0</v>
      </c>
      <c r="T3" s="1" t="n">
        <f aca="false">IF(coding!$J3="",0,IF(ISNUMBER(SEARCH("T7",coding!$J3)),1,0))</f>
        <v>0</v>
      </c>
      <c r="U3" s="1" t="n">
        <f aca="false">IF(coding!$J3="",0,IF(ISNUMBER(SEARCH("T8",coding!$J3)),1,0))</f>
        <v>0</v>
      </c>
      <c r="V3" s="1" t="n">
        <f aca="false">IF(coding!$J3="",0,IF(ISNUMBER(SEARCH("T9",coding!$J3)),1,0))</f>
        <v>0</v>
      </c>
      <c r="W3" s="1" t="n">
        <f aca="false">IF(coding!$O3="",0,IF(ISNUMBER(SEARCH("T1",coding!$O3)),1,0))</f>
        <v>1</v>
      </c>
      <c r="X3" s="1" t="n">
        <f aca="false">IF(coding!$O3="",0,IF(ISNUMBER(SEARCH("T2",coding!$O3)),1,0))</f>
        <v>0</v>
      </c>
      <c r="Y3" s="1" t="n">
        <f aca="false">IF(coding!$O3="",0,IF(ISNUMBER(SEARCH("T3",coding!$O3)),1,0))</f>
        <v>0</v>
      </c>
      <c r="Z3" s="1" t="n">
        <f aca="false">IF(coding!$O3="",0,IF(ISNUMBER(SEARCH("T4",coding!$O3)),1,0))</f>
        <v>1</v>
      </c>
      <c r="AA3" s="1" t="n">
        <f aca="false">IF(coding!$O3="",0,IF(ISNUMBER(SEARCH("T5",coding!$O3)),1,0))</f>
        <v>0</v>
      </c>
      <c r="AB3" s="1" t="n">
        <f aca="false">IF(coding!$O3="",0,IF(ISNUMBER(SEARCH("T6",coding!$O3)),1,0))</f>
        <v>0</v>
      </c>
      <c r="AC3" s="1" t="n">
        <f aca="false">IF(coding!$O3="",0,IF(ISNUMBER(SEARCH("T7",coding!$O3)),1,0))</f>
        <v>0</v>
      </c>
      <c r="AD3" s="1" t="n">
        <f aca="false">IF(coding!$O3="",0,IF(ISNUMBER(SEARCH("T8",coding!$O3)),1,0))</f>
        <v>0</v>
      </c>
      <c r="AE3" s="1" t="n">
        <f aca="false">IF(coding!$O3="",0,IF(ISNUMBER(SEARCH("T9",coding!$O3)),1,0))</f>
        <v>0</v>
      </c>
      <c r="AF3" s="1" t="n">
        <f aca="false">SUMPRODUCT($E3:$M3,$N3:$V3)</f>
        <v>0</v>
      </c>
      <c r="AG3" s="1" t="n">
        <f aca="false">SUMPRODUCT(--(($E3:$M3+$N3:$V3)&gt;0))</f>
        <v>0</v>
      </c>
      <c r="AH3" s="1" t="str">
        <f aca="false">IF(AND($B3=1,$C3=1),IF($AG3=0,1,$AF3/$AG3),"")</f>
        <v/>
      </c>
      <c r="AI3" s="1" t="str">
        <f aca="false">IF(AND($B3=1,$C3=1),IF(coding!$I3=coding!$J3,1,0),"")</f>
        <v/>
      </c>
      <c r="AJ3" s="1" t="str">
        <f aca="false">IF($B3=1,IF(SUMPRODUCT(--(($E3:$M3+$W3:$AE3)&gt;0))=0,1,SUMPRODUCT($E3:$M3,$W3:$AE3)/SUMPRODUCT(--(($E3:$M3+$W3:$AE3)&gt;0))),"")</f>
        <v/>
      </c>
      <c r="AK3" s="1" t="str">
        <f aca="false">IF($C3=1,IF(SUMPRODUCT(--(($N3:$V3+$W3:$AE3)&gt;0))=0,1,SUMPRODUCT($N3:$V3,$W3:$AE3)/SUMPRODUCT(--(($N3:$V3+$W3:$AE3)&gt;0))),"")</f>
        <v/>
      </c>
    </row>
    <row r="4" customFormat="false" ht="15" hidden="false" customHeight="true" outlineLevel="0" collapsed="false">
      <c r="A4" s="1" t="str">
        <f aca="false">coding!$A4</f>
        <v>P003</v>
      </c>
      <c r="B4" s="1" t="n">
        <f aca="false">IF(coding!$I4="",0,1)</f>
        <v>0</v>
      </c>
      <c r="C4" s="1" t="n">
        <f aca="false">IF(coding!$J4="",0,1)</f>
        <v>0</v>
      </c>
      <c r="D4" s="1" t="n">
        <f aca="false">IF(coding!$O4="",0,1)</f>
        <v>1</v>
      </c>
      <c r="E4" s="1" t="n">
        <f aca="false">IF(coding!$I4="",0,IF(ISNUMBER(SEARCH("T1",coding!$I4)),1,0))</f>
        <v>0</v>
      </c>
      <c r="F4" s="1" t="n">
        <f aca="false">IF(coding!$I4="",0,IF(ISNUMBER(SEARCH("T2",coding!$I4)),1,0))</f>
        <v>0</v>
      </c>
      <c r="G4" s="1" t="n">
        <f aca="false">IF(coding!$I4="",0,IF(ISNUMBER(SEARCH("T3",coding!$I4)),1,0))</f>
        <v>0</v>
      </c>
      <c r="H4" s="1" t="n">
        <f aca="false">IF(coding!$I4="",0,IF(ISNUMBER(SEARCH("T4",coding!$I4)),1,0))</f>
        <v>0</v>
      </c>
      <c r="I4" s="1" t="n">
        <f aca="false">IF(coding!$I4="",0,IF(ISNUMBER(SEARCH("T5",coding!$I4)),1,0))</f>
        <v>0</v>
      </c>
      <c r="J4" s="1" t="n">
        <f aca="false">IF(coding!$I4="",0,IF(ISNUMBER(SEARCH("T6",coding!$I4)),1,0))</f>
        <v>0</v>
      </c>
      <c r="K4" s="1" t="n">
        <f aca="false">IF(coding!$I4="",0,IF(ISNUMBER(SEARCH("T7",coding!$I4)),1,0))</f>
        <v>0</v>
      </c>
      <c r="L4" s="1" t="n">
        <f aca="false">IF(coding!$I4="",0,IF(ISNUMBER(SEARCH("T8",coding!$I4)),1,0))</f>
        <v>0</v>
      </c>
      <c r="M4" s="1" t="n">
        <f aca="false">IF(coding!$I4="",0,IF(ISNUMBER(SEARCH("T9",coding!$I4)),1,0))</f>
        <v>0</v>
      </c>
      <c r="N4" s="1" t="n">
        <f aca="false">IF(coding!$J4="",0,IF(ISNUMBER(SEARCH("T1",coding!$J4)),1,0))</f>
        <v>0</v>
      </c>
      <c r="O4" s="1" t="n">
        <f aca="false">IF(coding!$J4="",0,IF(ISNUMBER(SEARCH("T2",coding!$J4)),1,0))</f>
        <v>0</v>
      </c>
      <c r="P4" s="1" t="n">
        <f aca="false">IF(coding!$J4="",0,IF(ISNUMBER(SEARCH("T3",coding!$J4)),1,0))</f>
        <v>0</v>
      </c>
      <c r="Q4" s="1" t="n">
        <f aca="false">IF(coding!$J4="",0,IF(ISNUMBER(SEARCH("T4",coding!$J4)),1,0))</f>
        <v>0</v>
      </c>
      <c r="R4" s="1" t="n">
        <f aca="false">IF(coding!$J4="",0,IF(ISNUMBER(SEARCH("T5",coding!$J4)),1,0))</f>
        <v>0</v>
      </c>
      <c r="S4" s="1" t="n">
        <f aca="false">IF(coding!$J4="",0,IF(ISNUMBER(SEARCH("T6",coding!$J4)),1,0))</f>
        <v>0</v>
      </c>
      <c r="T4" s="1" t="n">
        <f aca="false">IF(coding!$J4="",0,IF(ISNUMBER(SEARCH("T7",coding!$J4)),1,0))</f>
        <v>0</v>
      </c>
      <c r="U4" s="1" t="n">
        <f aca="false">IF(coding!$J4="",0,IF(ISNUMBER(SEARCH("T8",coding!$J4)),1,0))</f>
        <v>0</v>
      </c>
      <c r="V4" s="1" t="n">
        <f aca="false">IF(coding!$J4="",0,IF(ISNUMBER(SEARCH("T9",coding!$J4)),1,0))</f>
        <v>0</v>
      </c>
      <c r="W4" s="1" t="n">
        <f aca="false">IF(coding!$O4="",0,IF(ISNUMBER(SEARCH("T1",coding!$O4)),1,0))</f>
        <v>0</v>
      </c>
      <c r="X4" s="1" t="n">
        <f aca="false">IF(coding!$O4="",0,IF(ISNUMBER(SEARCH("T2",coding!$O4)),1,0))</f>
        <v>0</v>
      </c>
      <c r="Y4" s="1" t="n">
        <f aca="false">IF(coding!$O4="",0,IF(ISNUMBER(SEARCH("T3",coding!$O4)),1,0))</f>
        <v>0</v>
      </c>
      <c r="Z4" s="1" t="n">
        <f aca="false">IF(coding!$O4="",0,IF(ISNUMBER(SEARCH("T4",coding!$O4)),1,0))</f>
        <v>0</v>
      </c>
      <c r="AA4" s="1" t="n">
        <f aca="false">IF(coding!$O4="",0,IF(ISNUMBER(SEARCH("T5",coding!$O4)),1,0))</f>
        <v>0</v>
      </c>
      <c r="AB4" s="1" t="n">
        <f aca="false">IF(coding!$O4="",0,IF(ISNUMBER(SEARCH("T6",coding!$O4)),1,0))</f>
        <v>0</v>
      </c>
      <c r="AC4" s="1" t="n">
        <f aca="false">IF(coding!$O4="",0,IF(ISNUMBER(SEARCH("T7",coding!$O4)),1,0))</f>
        <v>0</v>
      </c>
      <c r="AD4" s="1" t="n">
        <f aca="false">IF(coding!$O4="",0,IF(ISNUMBER(SEARCH("T8",coding!$O4)),1,0))</f>
        <v>0</v>
      </c>
      <c r="AE4" s="1" t="n">
        <f aca="false">IF(coding!$O4="",0,IF(ISNUMBER(SEARCH("T9",coding!$O4)),1,0))</f>
        <v>1</v>
      </c>
      <c r="AF4" s="1" t="n">
        <f aca="false">SUMPRODUCT($E4:$M4,$N4:$V4)</f>
        <v>0</v>
      </c>
      <c r="AG4" s="1" t="n">
        <f aca="false">SUMPRODUCT(--(($E4:$M4+$N4:$V4)&gt;0))</f>
        <v>0</v>
      </c>
      <c r="AH4" s="1" t="str">
        <f aca="false">IF(AND($B4=1,$C4=1),IF($AG4=0,1,$AF4/$AG4),"")</f>
        <v/>
      </c>
      <c r="AI4" s="1" t="str">
        <f aca="false">IF(AND($B4=1,$C4=1),IF(coding!$I4=coding!$J4,1,0),"")</f>
        <v/>
      </c>
      <c r="AJ4" s="1" t="str">
        <f aca="false">IF($B4=1,IF(SUMPRODUCT(--(($E4:$M4+$W4:$AE4)&gt;0))=0,1,SUMPRODUCT($E4:$M4,$W4:$AE4)/SUMPRODUCT(--(($E4:$M4+$W4:$AE4)&gt;0))),"")</f>
        <v/>
      </c>
      <c r="AK4" s="1" t="str">
        <f aca="false">IF($C4=1,IF(SUMPRODUCT(--(($N4:$V4+$W4:$AE4)&gt;0))=0,1,SUMPRODUCT($N4:$V4,$W4:$AE4)/SUMPRODUCT(--(($N4:$V4+$W4:$AE4)&gt;0))),"")</f>
        <v/>
      </c>
    </row>
    <row r="5" customFormat="false" ht="15" hidden="false" customHeight="true" outlineLevel="0" collapsed="false">
      <c r="A5" s="1" t="str">
        <f aca="false">coding!$A5</f>
        <v>P004</v>
      </c>
      <c r="B5" s="1" t="n">
        <f aca="false">IF(coding!$I5="",0,1)</f>
        <v>0</v>
      </c>
      <c r="C5" s="1" t="n">
        <f aca="false">IF(coding!$J5="",0,1)</f>
        <v>0</v>
      </c>
      <c r="D5" s="1" t="n">
        <f aca="false">IF(coding!$O5="",0,1)</f>
        <v>1</v>
      </c>
      <c r="E5" s="1" t="n">
        <f aca="false">IF(coding!$I5="",0,IF(ISNUMBER(SEARCH("T1",coding!$I5)),1,0))</f>
        <v>0</v>
      </c>
      <c r="F5" s="1" t="n">
        <f aca="false">IF(coding!$I5="",0,IF(ISNUMBER(SEARCH("T2",coding!$I5)),1,0))</f>
        <v>0</v>
      </c>
      <c r="G5" s="1" t="n">
        <f aca="false">IF(coding!$I5="",0,IF(ISNUMBER(SEARCH("T3",coding!$I5)),1,0))</f>
        <v>0</v>
      </c>
      <c r="H5" s="1" t="n">
        <f aca="false">IF(coding!$I5="",0,IF(ISNUMBER(SEARCH("T4",coding!$I5)),1,0))</f>
        <v>0</v>
      </c>
      <c r="I5" s="1" t="n">
        <f aca="false">IF(coding!$I5="",0,IF(ISNUMBER(SEARCH("T5",coding!$I5)),1,0))</f>
        <v>0</v>
      </c>
      <c r="J5" s="1" t="n">
        <f aca="false">IF(coding!$I5="",0,IF(ISNUMBER(SEARCH("T6",coding!$I5)),1,0))</f>
        <v>0</v>
      </c>
      <c r="K5" s="1" t="n">
        <f aca="false">IF(coding!$I5="",0,IF(ISNUMBER(SEARCH("T7",coding!$I5)),1,0))</f>
        <v>0</v>
      </c>
      <c r="L5" s="1" t="n">
        <f aca="false">IF(coding!$I5="",0,IF(ISNUMBER(SEARCH("T8",coding!$I5)),1,0))</f>
        <v>0</v>
      </c>
      <c r="M5" s="1" t="n">
        <f aca="false">IF(coding!$I5="",0,IF(ISNUMBER(SEARCH("T9",coding!$I5)),1,0))</f>
        <v>0</v>
      </c>
      <c r="N5" s="1" t="n">
        <f aca="false">IF(coding!$J5="",0,IF(ISNUMBER(SEARCH("T1",coding!$J5)),1,0))</f>
        <v>0</v>
      </c>
      <c r="O5" s="1" t="n">
        <f aca="false">IF(coding!$J5="",0,IF(ISNUMBER(SEARCH("T2",coding!$J5)),1,0))</f>
        <v>0</v>
      </c>
      <c r="P5" s="1" t="n">
        <f aca="false">IF(coding!$J5="",0,IF(ISNUMBER(SEARCH("T3",coding!$J5)),1,0))</f>
        <v>0</v>
      </c>
      <c r="Q5" s="1" t="n">
        <f aca="false">IF(coding!$J5="",0,IF(ISNUMBER(SEARCH("T4",coding!$J5)),1,0))</f>
        <v>0</v>
      </c>
      <c r="R5" s="1" t="n">
        <f aca="false">IF(coding!$J5="",0,IF(ISNUMBER(SEARCH("T5",coding!$J5)),1,0))</f>
        <v>0</v>
      </c>
      <c r="S5" s="1" t="n">
        <f aca="false">IF(coding!$J5="",0,IF(ISNUMBER(SEARCH("T6",coding!$J5)),1,0))</f>
        <v>0</v>
      </c>
      <c r="T5" s="1" t="n">
        <f aca="false">IF(coding!$J5="",0,IF(ISNUMBER(SEARCH("T7",coding!$J5)),1,0))</f>
        <v>0</v>
      </c>
      <c r="U5" s="1" t="n">
        <f aca="false">IF(coding!$J5="",0,IF(ISNUMBER(SEARCH("T8",coding!$J5)),1,0))</f>
        <v>0</v>
      </c>
      <c r="V5" s="1" t="n">
        <f aca="false">IF(coding!$J5="",0,IF(ISNUMBER(SEARCH("T9",coding!$J5)),1,0))</f>
        <v>0</v>
      </c>
      <c r="W5" s="1" t="n">
        <f aca="false">IF(coding!$O5="",0,IF(ISNUMBER(SEARCH("T1",coding!$O5)),1,0))</f>
        <v>1</v>
      </c>
      <c r="X5" s="1" t="n">
        <f aca="false">IF(coding!$O5="",0,IF(ISNUMBER(SEARCH("T2",coding!$O5)),1,0))</f>
        <v>0</v>
      </c>
      <c r="Y5" s="1" t="n">
        <f aca="false">IF(coding!$O5="",0,IF(ISNUMBER(SEARCH("T3",coding!$O5)),1,0))</f>
        <v>0</v>
      </c>
      <c r="Z5" s="1" t="n">
        <f aca="false">IF(coding!$O5="",0,IF(ISNUMBER(SEARCH("T4",coding!$O5)),1,0))</f>
        <v>1</v>
      </c>
      <c r="AA5" s="1" t="n">
        <f aca="false">IF(coding!$O5="",0,IF(ISNUMBER(SEARCH("T5",coding!$O5)),1,0))</f>
        <v>0</v>
      </c>
      <c r="AB5" s="1" t="n">
        <f aca="false">IF(coding!$O5="",0,IF(ISNUMBER(SEARCH("T6",coding!$O5)),1,0))</f>
        <v>0</v>
      </c>
      <c r="AC5" s="1" t="n">
        <f aca="false">IF(coding!$O5="",0,IF(ISNUMBER(SEARCH("T7",coding!$O5)),1,0))</f>
        <v>0</v>
      </c>
      <c r="AD5" s="1" t="n">
        <f aca="false">IF(coding!$O5="",0,IF(ISNUMBER(SEARCH("T8",coding!$O5)),1,0))</f>
        <v>0</v>
      </c>
      <c r="AE5" s="1" t="n">
        <f aca="false">IF(coding!$O5="",0,IF(ISNUMBER(SEARCH("T9",coding!$O5)),1,0))</f>
        <v>0</v>
      </c>
      <c r="AF5" s="1" t="n">
        <f aca="false">SUMPRODUCT($E5:$M5,$N5:$V5)</f>
        <v>0</v>
      </c>
      <c r="AG5" s="1" t="n">
        <f aca="false">SUMPRODUCT(--(($E5:$M5+$N5:$V5)&gt;0))</f>
        <v>0</v>
      </c>
      <c r="AH5" s="1" t="str">
        <f aca="false">IF(AND($B5=1,$C5=1),IF($AG5=0,1,$AF5/$AG5),"")</f>
        <v/>
      </c>
      <c r="AI5" s="1" t="str">
        <f aca="false">IF(AND($B5=1,$C5=1),IF(coding!$I5=coding!$J5,1,0),"")</f>
        <v/>
      </c>
      <c r="AJ5" s="1" t="str">
        <f aca="false">IF($B5=1,IF(SUMPRODUCT(--(($E5:$M5+$W5:$AE5)&gt;0))=0,1,SUMPRODUCT($E5:$M5,$W5:$AE5)/SUMPRODUCT(--(($E5:$M5+$W5:$AE5)&gt;0))),"")</f>
        <v/>
      </c>
      <c r="AK5" s="1" t="str">
        <f aca="false">IF($C5=1,IF(SUMPRODUCT(--(($N5:$V5+$W5:$AE5)&gt;0))=0,1,SUMPRODUCT($N5:$V5,$W5:$AE5)/SUMPRODUCT(--(($N5:$V5+$W5:$AE5)&gt;0))),"")</f>
        <v/>
      </c>
    </row>
    <row r="6" customFormat="false" ht="15" hidden="false" customHeight="true" outlineLevel="0" collapsed="false">
      <c r="A6" s="1" t="str">
        <f aca="false">coding!$A6</f>
        <v>P005</v>
      </c>
      <c r="B6" s="1" t="n">
        <f aca="false">IF(coding!$I6="",0,1)</f>
        <v>0</v>
      </c>
      <c r="C6" s="1" t="n">
        <f aca="false">IF(coding!$J6="",0,1)</f>
        <v>0</v>
      </c>
      <c r="D6" s="1" t="n">
        <f aca="false">IF(coding!$O6="",0,1)</f>
        <v>1</v>
      </c>
      <c r="E6" s="1" t="n">
        <f aca="false">IF(coding!$I6="",0,IF(ISNUMBER(SEARCH("T1",coding!$I6)),1,0))</f>
        <v>0</v>
      </c>
      <c r="F6" s="1" t="n">
        <f aca="false">IF(coding!$I6="",0,IF(ISNUMBER(SEARCH("T2",coding!$I6)),1,0))</f>
        <v>0</v>
      </c>
      <c r="G6" s="1" t="n">
        <f aca="false">IF(coding!$I6="",0,IF(ISNUMBER(SEARCH("T3",coding!$I6)),1,0))</f>
        <v>0</v>
      </c>
      <c r="H6" s="1" t="n">
        <f aca="false">IF(coding!$I6="",0,IF(ISNUMBER(SEARCH("T4",coding!$I6)),1,0))</f>
        <v>0</v>
      </c>
      <c r="I6" s="1" t="n">
        <f aca="false">IF(coding!$I6="",0,IF(ISNUMBER(SEARCH("T5",coding!$I6)),1,0))</f>
        <v>0</v>
      </c>
      <c r="J6" s="1" t="n">
        <f aca="false">IF(coding!$I6="",0,IF(ISNUMBER(SEARCH("T6",coding!$I6)),1,0))</f>
        <v>0</v>
      </c>
      <c r="K6" s="1" t="n">
        <f aca="false">IF(coding!$I6="",0,IF(ISNUMBER(SEARCH("T7",coding!$I6)),1,0))</f>
        <v>0</v>
      </c>
      <c r="L6" s="1" t="n">
        <f aca="false">IF(coding!$I6="",0,IF(ISNUMBER(SEARCH("T8",coding!$I6)),1,0))</f>
        <v>0</v>
      </c>
      <c r="M6" s="1" t="n">
        <f aca="false">IF(coding!$I6="",0,IF(ISNUMBER(SEARCH("T9",coding!$I6)),1,0))</f>
        <v>0</v>
      </c>
      <c r="N6" s="1" t="n">
        <f aca="false">IF(coding!$J6="",0,IF(ISNUMBER(SEARCH("T1",coding!$J6)),1,0))</f>
        <v>0</v>
      </c>
      <c r="O6" s="1" t="n">
        <f aca="false">IF(coding!$J6="",0,IF(ISNUMBER(SEARCH("T2",coding!$J6)),1,0))</f>
        <v>0</v>
      </c>
      <c r="P6" s="1" t="n">
        <f aca="false">IF(coding!$J6="",0,IF(ISNUMBER(SEARCH("T3",coding!$J6)),1,0))</f>
        <v>0</v>
      </c>
      <c r="Q6" s="1" t="n">
        <f aca="false">IF(coding!$J6="",0,IF(ISNUMBER(SEARCH("T4",coding!$J6)),1,0))</f>
        <v>0</v>
      </c>
      <c r="R6" s="1" t="n">
        <f aca="false">IF(coding!$J6="",0,IF(ISNUMBER(SEARCH("T5",coding!$J6)),1,0))</f>
        <v>0</v>
      </c>
      <c r="S6" s="1" t="n">
        <f aca="false">IF(coding!$J6="",0,IF(ISNUMBER(SEARCH("T6",coding!$J6)),1,0))</f>
        <v>0</v>
      </c>
      <c r="T6" s="1" t="n">
        <f aca="false">IF(coding!$J6="",0,IF(ISNUMBER(SEARCH("T7",coding!$J6)),1,0))</f>
        <v>0</v>
      </c>
      <c r="U6" s="1" t="n">
        <f aca="false">IF(coding!$J6="",0,IF(ISNUMBER(SEARCH("T8",coding!$J6)),1,0))</f>
        <v>0</v>
      </c>
      <c r="V6" s="1" t="n">
        <f aca="false">IF(coding!$J6="",0,IF(ISNUMBER(SEARCH("T9",coding!$J6)),1,0))</f>
        <v>0</v>
      </c>
      <c r="W6" s="1" t="n">
        <f aca="false">IF(coding!$O6="",0,IF(ISNUMBER(SEARCH("T1",coding!$O6)),1,0))</f>
        <v>1</v>
      </c>
      <c r="X6" s="1" t="n">
        <f aca="false">IF(coding!$O6="",0,IF(ISNUMBER(SEARCH("T2",coding!$O6)),1,0))</f>
        <v>1</v>
      </c>
      <c r="Y6" s="1" t="n">
        <f aca="false">IF(coding!$O6="",0,IF(ISNUMBER(SEARCH("T3",coding!$O6)),1,0))</f>
        <v>0</v>
      </c>
      <c r="Z6" s="1" t="n">
        <f aca="false">IF(coding!$O6="",0,IF(ISNUMBER(SEARCH("T4",coding!$O6)),1,0))</f>
        <v>0</v>
      </c>
      <c r="AA6" s="1" t="n">
        <f aca="false">IF(coding!$O6="",0,IF(ISNUMBER(SEARCH("T5",coding!$O6)),1,0))</f>
        <v>0</v>
      </c>
      <c r="AB6" s="1" t="n">
        <f aca="false">IF(coding!$O6="",0,IF(ISNUMBER(SEARCH("T6",coding!$O6)),1,0))</f>
        <v>0</v>
      </c>
      <c r="AC6" s="1" t="n">
        <f aca="false">IF(coding!$O6="",0,IF(ISNUMBER(SEARCH("T7",coding!$O6)),1,0))</f>
        <v>0</v>
      </c>
      <c r="AD6" s="1" t="n">
        <f aca="false">IF(coding!$O6="",0,IF(ISNUMBER(SEARCH("T8",coding!$O6)),1,0))</f>
        <v>0</v>
      </c>
      <c r="AE6" s="1" t="n">
        <f aca="false">IF(coding!$O6="",0,IF(ISNUMBER(SEARCH("T9",coding!$O6)),1,0))</f>
        <v>0</v>
      </c>
      <c r="AF6" s="1" t="n">
        <f aca="false">SUMPRODUCT($E6:$M6,$N6:$V6)</f>
        <v>0</v>
      </c>
      <c r="AG6" s="1" t="n">
        <f aca="false">SUMPRODUCT(--(($E6:$M6+$N6:$V6)&gt;0))</f>
        <v>0</v>
      </c>
      <c r="AH6" s="1" t="str">
        <f aca="false">IF(AND($B6=1,$C6=1),IF($AG6=0,1,$AF6/$AG6),"")</f>
        <v/>
      </c>
      <c r="AI6" s="1" t="str">
        <f aca="false">IF(AND($B6=1,$C6=1),IF(coding!$I6=coding!$J6,1,0),"")</f>
        <v/>
      </c>
      <c r="AJ6" s="1" t="str">
        <f aca="false">IF($B6=1,IF(SUMPRODUCT(--(($E6:$M6+$W6:$AE6)&gt;0))=0,1,SUMPRODUCT($E6:$M6,$W6:$AE6)/SUMPRODUCT(--(($E6:$M6+$W6:$AE6)&gt;0))),"")</f>
        <v/>
      </c>
      <c r="AK6" s="1" t="str">
        <f aca="false">IF($C6=1,IF(SUMPRODUCT(--(($N6:$V6+$W6:$AE6)&gt;0))=0,1,SUMPRODUCT($N6:$V6,$W6:$AE6)/SUMPRODUCT(--(($N6:$V6+$W6:$AE6)&gt;0))),"")</f>
        <v/>
      </c>
    </row>
    <row r="7" customFormat="false" ht="15" hidden="false" customHeight="true" outlineLevel="0" collapsed="false">
      <c r="A7" s="1" t="str">
        <f aca="false">coding!$A7</f>
        <v>P006</v>
      </c>
      <c r="B7" s="1" t="n">
        <f aca="false">IF(coding!$I7="",0,1)</f>
        <v>0</v>
      </c>
      <c r="C7" s="1" t="n">
        <f aca="false">IF(coding!$J7="",0,1)</f>
        <v>0</v>
      </c>
      <c r="D7" s="1" t="n">
        <f aca="false">IF(coding!$O7="",0,1)</f>
        <v>1</v>
      </c>
      <c r="E7" s="1" t="n">
        <f aca="false">IF(coding!$I7="",0,IF(ISNUMBER(SEARCH("T1",coding!$I7)),1,0))</f>
        <v>0</v>
      </c>
      <c r="F7" s="1" t="n">
        <f aca="false">IF(coding!$I7="",0,IF(ISNUMBER(SEARCH("T2",coding!$I7)),1,0))</f>
        <v>0</v>
      </c>
      <c r="G7" s="1" t="n">
        <f aca="false">IF(coding!$I7="",0,IF(ISNUMBER(SEARCH("T3",coding!$I7)),1,0))</f>
        <v>0</v>
      </c>
      <c r="H7" s="1" t="n">
        <f aca="false">IF(coding!$I7="",0,IF(ISNUMBER(SEARCH("T4",coding!$I7)),1,0))</f>
        <v>0</v>
      </c>
      <c r="I7" s="1" t="n">
        <f aca="false">IF(coding!$I7="",0,IF(ISNUMBER(SEARCH("T5",coding!$I7)),1,0))</f>
        <v>0</v>
      </c>
      <c r="J7" s="1" t="n">
        <f aca="false">IF(coding!$I7="",0,IF(ISNUMBER(SEARCH("T6",coding!$I7)),1,0))</f>
        <v>0</v>
      </c>
      <c r="K7" s="1" t="n">
        <f aca="false">IF(coding!$I7="",0,IF(ISNUMBER(SEARCH("T7",coding!$I7)),1,0))</f>
        <v>0</v>
      </c>
      <c r="L7" s="1" t="n">
        <f aca="false">IF(coding!$I7="",0,IF(ISNUMBER(SEARCH("T8",coding!$I7)),1,0))</f>
        <v>0</v>
      </c>
      <c r="M7" s="1" t="n">
        <f aca="false">IF(coding!$I7="",0,IF(ISNUMBER(SEARCH("T9",coding!$I7)),1,0))</f>
        <v>0</v>
      </c>
      <c r="N7" s="1" t="n">
        <f aca="false">IF(coding!$J7="",0,IF(ISNUMBER(SEARCH("T1",coding!$J7)),1,0))</f>
        <v>0</v>
      </c>
      <c r="O7" s="1" t="n">
        <f aca="false">IF(coding!$J7="",0,IF(ISNUMBER(SEARCH("T2",coding!$J7)),1,0))</f>
        <v>0</v>
      </c>
      <c r="P7" s="1" t="n">
        <f aca="false">IF(coding!$J7="",0,IF(ISNUMBER(SEARCH("T3",coding!$J7)),1,0))</f>
        <v>0</v>
      </c>
      <c r="Q7" s="1" t="n">
        <f aca="false">IF(coding!$J7="",0,IF(ISNUMBER(SEARCH("T4",coding!$J7)),1,0))</f>
        <v>0</v>
      </c>
      <c r="R7" s="1" t="n">
        <f aca="false">IF(coding!$J7="",0,IF(ISNUMBER(SEARCH("T5",coding!$J7)),1,0))</f>
        <v>0</v>
      </c>
      <c r="S7" s="1" t="n">
        <f aca="false">IF(coding!$J7="",0,IF(ISNUMBER(SEARCH("T6",coding!$J7)),1,0))</f>
        <v>0</v>
      </c>
      <c r="T7" s="1" t="n">
        <f aca="false">IF(coding!$J7="",0,IF(ISNUMBER(SEARCH("T7",coding!$J7)),1,0))</f>
        <v>0</v>
      </c>
      <c r="U7" s="1" t="n">
        <f aca="false">IF(coding!$J7="",0,IF(ISNUMBER(SEARCH("T8",coding!$J7)),1,0))</f>
        <v>0</v>
      </c>
      <c r="V7" s="1" t="n">
        <f aca="false">IF(coding!$J7="",0,IF(ISNUMBER(SEARCH("T9",coding!$J7)),1,0))</f>
        <v>0</v>
      </c>
      <c r="W7" s="1" t="n">
        <f aca="false">IF(coding!$O7="",0,IF(ISNUMBER(SEARCH("T1",coding!$O7)),1,0))</f>
        <v>0</v>
      </c>
      <c r="X7" s="1" t="n">
        <f aca="false">IF(coding!$O7="",0,IF(ISNUMBER(SEARCH("T2",coding!$O7)),1,0))</f>
        <v>1</v>
      </c>
      <c r="Y7" s="1" t="n">
        <f aca="false">IF(coding!$O7="",0,IF(ISNUMBER(SEARCH("T3",coding!$O7)),1,0))</f>
        <v>0</v>
      </c>
      <c r="Z7" s="1" t="n">
        <f aca="false">IF(coding!$O7="",0,IF(ISNUMBER(SEARCH("T4",coding!$O7)),1,0))</f>
        <v>0</v>
      </c>
      <c r="AA7" s="1" t="n">
        <f aca="false">IF(coding!$O7="",0,IF(ISNUMBER(SEARCH("T5",coding!$O7)),1,0))</f>
        <v>0</v>
      </c>
      <c r="AB7" s="1" t="n">
        <f aca="false">IF(coding!$O7="",0,IF(ISNUMBER(SEARCH("T6",coding!$O7)),1,0))</f>
        <v>0</v>
      </c>
      <c r="AC7" s="1" t="n">
        <f aca="false">IF(coding!$O7="",0,IF(ISNUMBER(SEARCH("T7",coding!$O7)),1,0))</f>
        <v>0</v>
      </c>
      <c r="AD7" s="1" t="n">
        <f aca="false">IF(coding!$O7="",0,IF(ISNUMBER(SEARCH("T8",coding!$O7)),1,0))</f>
        <v>0</v>
      </c>
      <c r="AE7" s="1" t="n">
        <f aca="false">IF(coding!$O7="",0,IF(ISNUMBER(SEARCH("T9",coding!$O7)),1,0))</f>
        <v>0</v>
      </c>
      <c r="AF7" s="1" t="n">
        <f aca="false">SUMPRODUCT($E7:$M7,$N7:$V7)</f>
        <v>0</v>
      </c>
      <c r="AG7" s="1" t="n">
        <f aca="false">SUMPRODUCT(--(($E7:$M7+$N7:$V7)&gt;0))</f>
        <v>0</v>
      </c>
      <c r="AH7" s="1" t="str">
        <f aca="false">IF(AND($B7=1,$C7=1),IF($AG7=0,1,$AF7/$AG7),"")</f>
        <v/>
      </c>
      <c r="AI7" s="1" t="str">
        <f aca="false">IF(AND($B7=1,$C7=1),IF(coding!$I7=coding!$J7,1,0),"")</f>
        <v/>
      </c>
      <c r="AJ7" s="1" t="str">
        <f aca="false">IF($B7=1,IF(SUMPRODUCT(--(($E7:$M7+$W7:$AE7)&gt;0))=0,1,SUMPRODUCT($E7:$M7,$W7:$AE7)/SUMPRODUCT(--(($E7:$M7+$W7:$AE7)&gt;0))),"")</f>
        <v/>
      </c>
      <c r="AK7" s="1" t="str">
        <f aca="false">IF($C7=1,IF(SUMPRODUCT(--(($N7:$V7+$W7:$AE7)&gt;0))=0,1,SUMPRODUCT($N7:$V7,$W7:$AE7)/SUMPRODUCT(--(($N7:$V7+$W7:$AE7)&gt;0))),"")</f>
        <v/>
      </c>
    </row>
    <row r="8" customFormat="false" ht="15" hidden="false" customHeight="true" outlineLevel="0" collapsed="false">
      <c r="A8" s="1" t="str">
        <f aca="false">coding!$A8</f>
        <v>P007</v>
      </c>
      <c r="B8" s="1" t="n">
        <f aca="false">IF(coding!$I8="",0,1)</f>
        <v>0</v>
      </c>
      <c r="C8" s="1" t="n">
        <f aca="false">IF(coding!$J8="",0,1)</f>
        <v>0</v>
      </c>
      <c r="D8" s="1" t="n">
        <f aca="false">IF(coding!$O8="",0,1)</f>
        <v>1</v>
      </c>
      <c r="E8" s="1" t="n">
        <f aca="false">IF(coding!$I8="",0,IF(ISNUMBER(SEARCH("T1",coding!$I8)),1,0))</f>
        <v>0</v>
      </c>
      <c r="F8" s="1" t="n">
        <f aca="false">IF(coding!$I8="",0,IF(ISNUMBER(SEARCH("T2",coding!$I8)),1,0))</f>
        <v>0</v>
      </c>
      <c r="G8" s="1" t="n">
        <f aca="false">IF(coding!$I8="",0,IF(ISNUMBER(SEARCH("T3",coding!$I8)),1,0))</f>
        <v>0</v>
      </c>
      <c r="H8" s="1" t="n">
        <f aca="false">IF(coding!$I8="",0,IF(ISNUMBER(SEARCH("T4",coding!$I8)),1,0))</f>
        <v>0</v>
      </c>
      <c r="I8" s="1" t="n">
        <f aca="false">IF(coding!$I8="",0,IF(ISNUMBER(SEARCH("T5",coding!$I8)),1,0))</f>
        <v>0</v>
      </c>
      <c r="J8" s="1" t="n">
        <f aca="false">IF(coding!$I8="",0,IF(ISNUMBER(SEARCH("T6",coding!$I8)),1,0))</f>
        <v>0</v>
      </c>
      <c r="K8" s="1" t="n">
        <f aca="false">IF(coding!$I8="",0,IF(ISNUMBER(SEARCH("T7",coding!$I8)),1,0))</f>
        <v>0</v>
      </c>
      <c r="L8" s="1" t="n">
        <f aca="false">IF(coding!$I8="",0,IF(ISNUMBER(SEARCH("T8",coding!$I8)),1,0))</f>
        <v>0</v>
      </c>
      <c r="M8" s="1" t="n">
        <f aca="false">IF(coding!$I8="",0,IF(ISNUMBER(SEARCH("T9",coding!$I8)),1,0))</f>
        <v>0</v>
      </c>
      <c r="N8" s="1" t="n">
        <f aca="false">IF(coding!$J8="",0,IF(ISNUMBER(SEARCH("T1",coding!$J8)),1,0))</f>
        <v>0</v>
      </c>
      <c r="O8" s="1" t="n">
        <f aca="false">IF(coding!$J8="",0,IF(ISNUMBER(SEARCH("T2",coding!$J8)),1,0))</f>
        <v>0</v>
      </c>
      <c r="P8" s="1" t="n">
        <f aca="false">IF(coding!$J8="",0,IF(ISNUMBER(SEARCH("T3",coding!$J8)),1,0))</f>
        <v>0</v>
      </c>
      <c r="Q8" s="1" t="n">
        <f aca="false">IF(coding!$J8="",0,IF(ISNUMBER(SEARCH("T4",coding!$J8)),1,0))</f>
        <v>0</v>
      </c>
      <c r="R8" s="1" t="n">
        <f aca="false">IF(coding!$J8="",0,IF(ISNUMBER(SEARCH("T5",coding!$J8)),1,0))</f>
        <v>0</v>
      </c>
      <c r="S8" s="1" t="n">
        <f aca="false">IF(coding!$J8="",0,IF(ISNUMBER(SEARCH("T6",coding!$J8)),1,0))</f>
        <v>0</v>
      </c>
      <c r="T8" s="1" t="n">
        <f aca="false">IF(coding!$J8="",0,IF(ISNUMBER(SEARCH("T7",coding!$J8)),1,0))</f>
        <v>0</v>
      </c>
      <c r="U8" s="1" t="n">
        <f aca="false">IF(coding!$J8="",0,IF(ISNUMBER(SEARCH("T8",coding!$J8)),1,0))</f>
        <v>0</v>
      </c>
      <c r="V8" s="1" t="n">
        <f aca="false">IF(coding!$J8="",0,IF(ISNUMBER(SEARCH("T9",coding!$J8)),1,0))</f>
        <v>0</v>
      </c>
      <c r="W8" s="1" t="n">
        <f aca="false">IF(coding!$O8="",0,IF(ISNUMBER(SEARCH("T1",coding!$O8)),1,0))</f>
        <v>1</v>
      </c>
      <c r="X8" s="1" t="n">
        <f aca="false">IF(coding!$O8="",0,IF(ISNUMBER(SEARCH("T2",coding!$O8)),1,0))</f>
        <v>0</v>
      </c>
      <c r="Y8" s="1" t="n">
        <f aca="false">IF(coding!$O8="",0,IF(ISNUMBER(SEARCH("T3",coding!$O8)),1,0))</f>
        <v>1</v>
      </c>
      <c r="Z8" s="1" t="n">
        <f aca="false">IF(coding!$O8="",0,IF(ISNUMBER(SEARCH("T4",coding!$O8)),1,0))</f>
        <v>0</v>
      </c>
      <c r="AA8" s="1" t="n">
        <f aca="false">IF(coding!$O8="",0,IF(ISNUMBER(SEARCH("T5",coding!$O8)),1,0))</f>
        <v>0</v>
      </c>
      <c r="AB8" s="1" t="n">
        <f aca="false">IF(coding!$O8="",0,IF(ISNUMBER(SEARCH("T6",coding!$O8)),1,0))</f>
        <v>0</v>
      </c>
      <c r="AC8" s="1" t="n">
        <f aca="false">IF(coding!$O8="",0,IF(ISNUMBER(SEARCH("T7",coding!$O8)),1,0))</f>
        <v>0</v>
      </c>
      <c r="AD8" s="1" t="n">
        <f aca="false">IF(coding!$O8="",0,IF(ISNUMBER(SEARCH("T8",coding!$O8)),1,0))</f>
        <v>0</v>
      </c>
      <c r="AE8" s="1" t="n">
        <f aca="false">IF(coding!$O8="",0,IF(ISNUMBER(SEARCH("T9",coding!$O8)),1,0))</f>
        <v>0</v>
      </c>
      <c r="AF8" s="1" t="n">
        <f aca="false">SUMPRODUCT($E8:$M8,$N8:$V8)</f>
        <v>0</v>
      </c>
      <c r="AG8" s="1" t="n">
        <f aca="false">SUMPRODUCT(--(($E8:$M8+$N8:$V8)&gt;0))</f>
        <v>0</v>
      </c>
      <c r="AH8" s="1" t="str">
        <f aca="false">IF(AND($B8=1,$C8=1),IF($AG8=0,1,$AF8/$AG8),"")</f>
        <v/>
      </c>
      <c r="AI8" s="1" t="str">
        <f aca="false">IF(AND($B8=1,$C8=1),IF(coding!$I8=coding!$J8,1,0),"")</f>
        <v/>
      </c>
      <c r="AJ8" s="1" t="str">
        <f aca="false">IF($B8=1,IF(SUMPRODUCT(--(($E8:$M8+$W8:$AE8)&gt;0))=0,1,SUMPRODUCT($E8:$M8,$W8:$AE8)/SUMPRODUCT(--(($E8:$M8+$W8:$AE8)&gt;0))),"")</f>
        <v/>
      </c>
      <c r="AK8" s="1" t="str">
        <f aca="false">IF($C8=1,IF(SUMPRODUCT(--(($N8:$V8+$W8:$AE8)&gt;0))=0,1,SUMPRODUCT($N8:$V8,$W8:$AE8)/SUMPRODUCT(--(($N8:$V8+$W8:$AE8)&gt;0))),"")</f>
        <v/>
      </c>
    </row>
    <row r="9" customFormat="false" ht="15" hidden="false" customHeight="true" outlineLevel="0" collapsed="false">
      <c r="A9" s="1" t="str">
        <f aca="false">coding!$A9</f>
        <v>P008</v>
      </c>
      <c r="B9" s="1" t="n">
        <f aca="false">IF(coding!$I9="",0,1)</f>
        <v>0</v>
      </c>
      <c r="C9" s="1" t="n">
        <f aca="false">IF(coding!$J9="",0,1)</f>
        <v>0</v>
      </c>
      <c r="D9" s="1" t="n">
        <f aca="false">IF(coding!$O9="",0,1)</f>
        <v>1</v>
      </c>
      <c r="E9" s="1" t="n">
        <f aca="false">IF(coding!$I9="",0,IF(ISNUMBER(SEARCH("T1",coding!$I9)),1,0))</f>
        <v>0</v>
      </c>
      <c r="F9" s="1" t="n">
        <f aca="false">IF(coding!$I9="",0,IF(ISNUMBER(SEARCH("T2",coding!$I9)),1,0))</f>
        <v>0</v>
      </c>
      <c r="G9" s="1" t="n">
        <f aca="false">IF(coding!$I9="",0,IF(ISNUMBER(SEARCH("T3",coding!$I9)),1,0))</f>
        <v>0</v>
      </c>
      <c r="H9" s="1" t="n">
        <f aca="false">IF(coding!$I9="",0,IF(ISNUMBER(SEARCH("T4",coding!$I9)),1,0))</f>
        <v>0</v>
      </c>
      <c r="I9" s="1" t="n">
        <f aca="false">IF(coding!$I9="",0,IF(ISNUMBER(SEARCH("T5",coding!$I9)),1,0))</f>
        <v>0</v>
      </c>
      <c r="J9" s="1" t="n">
        <f aca="false">IF(coding!$I9="",0,IF(ISNUMBER(SEARCH("T6",coding!$I9)),1,0))</f>
        <v>0</v>
      </c>
      <c r="K9" s="1" t="n">
        <f aca="false">IF(coding!$I9="",0,IF(ISNUMBER(SEARCH("T7",coding!$I9)),1,0))</f>
        <v>0</v>
      </c>
      <c r="L9" s="1" t="n">
        <f aca="false">IF(coding!$I9="",0,IF(ISNUMBER(SEARCH("T8",coding!$I9)),1,0))</f>
        <v>0</v>
      </c>
      <c r="M9" s="1" t="n">
        <f aca="false">IF(coding!$I9="",0,IF(ISNUMBER(SEARCH("T9",coding!$I9)),1,0))</f>
        <v>0</v>
      </c>
      <c r="N9" s="1" t="n">
        <f aca="false">IF(coding!$J9="",0,IF(ISNUMBER(SEARCH("T1",coding!$J9)),1,0))</f>
        <v>0</v>
      </c>
      <c r="O9" s="1" t="n">
        <f aca="false">IF(coding!$J9="",0,IF(ISNUMBER(SEARCH("T2",coding!$J9)),1,0))</f>
        <v>0</v>
      </c>
      <c r="P9" s="1" t="n">
        <f aca="false">IF(coding!$J9="",0,IF(ISNUMBER(SEARCH("T3",coding!$J9)),1,0))</f>
        <v>0</v>
      </c>
      <c r="Q9" s="1" t="n">
        <f aca="false">IF(coding!$J9="",0,IF(ISNUMBER(SEARCH("T4",coding!$J9)),1,0))</f>
        <v>0</v>
      </c>
      <c r="R9" s="1" t="n">
        <f aca="false">IF(coding!$J9="",0,IF(ISNUMBER(SEARCH("T5",coding!$J9)),1,0))</f>
        <v>0</v>
      </c>
      <c r="S9" s="1" t="n">
        <f aca="false">IF(coding!$J9="",0,IF(ISNUMBER(SEARCH("T6",coding!$J9)),1,0))</f>
        <v>0</v>
      </c>
      <c r="T9" s="1" t="n">
        <f aca="false">IF(coding!$J9="",0,IF(ISNUMBER(SEARCH("T7",coding!$J9)),1,0))</f>
        <v>0</v>
      </c>
      <c r="U9" s="1" t="n">
        <f aca="false">IF(coding!$J9="",0,IF(ISNUMBER(SEARCH("T8",coding!$J9)),1,0))</f>
        <v>0</v>
      </c>
      <c r="V9" s="1" t="n">
        <f aca="false">IF(coding!$J9="",0,IF(ISNUMBER(SEARCH("T9",coding!$J9)),1,0))</f>
        <v>0</v>
      </c>
      <c r="W9" s="1" t="n">
        <f aca="false">IF(coding!$O9="",0,IF(ISNUMBER(SEARCH("T1",coding!$O9)),1,0))</f>
        <v>0</v>
      </c>
      <c r="X9" s="1" t="n">
        <f aca="false">IF(coding!$O9="",0,IF(ISNUMBER(SEARCH("T2",coding!$O9)),1,0))</f>
        <v>1</v>
      </c>
      <c r="Y9" s="1" t="n">
        <f aca="false">IF(coding!$O9="",0,IF(ISNUMBER(SEARCH("T3",coding!$O9)),1,0))</f>
        <v>0</v>
      </c>
      <c r="Z9" s="1" t="n">
        <f aca="false">IF(coding!$O9="",0,IF(ISNUMBER(SEARCH("T4",coding!$O9)),1,0))</f>
        <v>0</v>
      </c>
      <c r="AA9" s="1" t="n">
        <f aca="false">IF(coding!$O9="",0,IF(ISNUMBER(SEARCH("T5",coding!$O9)),1,0))</f>
        <v>0</v>
      </c>
      <c r="AB9" s="1" t="n">
        <f aca="false">IF(coding!$O9="",0,IF(ISNUMBER(SEARCH("T6",coding!$O9)),1,0))</f>
        <v>0</v>
      </c>
      <c r="AC9" s="1" t="n">
        <f aca="false">IF(coding!$O9="",0,IF(ISNUMBER(SEARCH("T7",coding!$O9)),1,0))</f>
        <v>0</v>
      </c>
      <c r="AD9" s="1" t="n">
        <f aca="false">IF(coding!$O9="",0,IF(ISNUMBER(SEARCH("T8",coding!$O9)),1,0))</f>
        <v>0</v>
      </c>
      <c r="AE9" s="1" t="n">
        <f aca="false">IF(coding!$O9="",0,IF(ISNUMBER(SEARCH("T9",coding!$O9)),1,0))</f>
        <v>0</v>
      </c>
      <c r="AF9" s="1" t="n">
        <f aca="false">SUMPRODUCT($E9:$M9,$N9:$V9)</f>
        <v>0</v>
      </c>
      <c r="AG9" s="1" t="n">
        <f aca="false">SUMPRODUCT(--(($E9:$M9+$N9:$V9)&gt;0))</f>
        <v>0</v>
      </c>
      <c r="AH9" s="1" t="str">
        <f aca="false">IF(AND($B9=1,$C9=1),IF($AG9=0,1,$AF9/$AG9),"")</f>
        <v/>
      </c>
      <c r="AI9" s="1" t="str">
        <f aca="false">IF(AND($B9=1,$C9=1),IF(coding!$I9=coding!$J9,1,0),"")</f>
        <v/>
      </c>
      <c r="AJ9" s="1" t="str">
        <f aca="false">IF($B9=1,IF(SUMPRODUCT(--(($E9:$M9+$W9:$AE9)&gt;0))=0,1,SUMPRODUCT($E9:$M9,$W9:$AE9)/SUMPRODUCT(--(($E9:$M9+$W9:$AE9)&gt;0))),"")</f>
        <v/>
      </c>
      <c r="AK9" s="1" t="str">
        <f aca="false">IF($C9=1,IF(SUMPRODUCT(--(($N9:$V9+$W9:$AE9)&gt;0))=0,1,SUMPRODUCT($N9:$V9,$W9:$AE9)/SUMPRODUCT(--(($N9:$V9+$W9:$AE9)&gt;0))),"")</f>
        <v/>
      </c>
    </row>
    <row r="10" customFormat="false" ht="15" hidden="false" customHeight="true" outlineLevel="0" collapsed="false">
      <c r="A10" s="1" t="str">
        <f aca="false">coding!$A10</f>
        <v>P009</v>
      </c>
      <c r="B10" s="1" t="n">
        <f aca="false">IF(coding!$I10="",0,1)</f>
        <v>0</v>
      </c>
      <c r="C10" s="1" t="n">
        <f aca="false">IF(coding!$J10="",0,1)</f>
        <v>0</v>
      </c>
      <c r="D10" s="1" t="n">
        <f aca="false">IF(coding!$O10="",0,1)</f>
        <v>1</v>
      </c>
      <c r="E10" s="1" t="n">
        <f aca="false">IF(coding!$I10="",0,IF(ISNUMBER(SEARCH("T1",coding!$I10)),1,0))</f>
        <v>0</v>
      </c>
      <c r="F10" s="1" t="n">
        <f aca="false">IF(coding!$I10="",0,IF(ISNUMBER(SEARCH("T2",coding!$I10)),1,0))</f>
        <v>0</v>
      </c>
      <c r="G10" s="1" t="n">
        <f aca="false">IF(coding!$I10="",0,IF(ISNUMBER(SEARCH("T3",coding!$I10)),1,0))</f>
        <v>0</v>
      </c>
      <c r="H10" s="1" t="n">
        <f aca="false">IF(coding!$I10="",0,IF(ISNUMBER(SEARCH("T4",coding!$I10)),1,0))</f>
        <v>0</v>
      </c>
      <c r="I10" s="1" t="n">
        <f aca="false">IF(coding!$I10="",0,IF(ISNUMBER(SEARCH("T5",coding!$I10)),1,0))</f>
        <v>0</v>
      </c>
      <c r="J10" s="1" t="n">
        <f aca="false">IF(coding!$I10="",0,IF(ISNUMBER(SEARCH("T6",coding!$I10)),1,0))</f>
        <v>0</v>
      </c>
      <c r="K10" s="1" t="n">
        <f aca="false">IF(coding!$I10="",0,IF(ISNUMBER(SEARCH("T7",coding!$I10)),1,0))</f>
        <v>0</v>
      </c>
      <c r="L10" s="1" t="n">
        <f aca="false">IF(coding!$I10="",0,IF(ISNUMBER(SEARCH("T8",coding!$I10)),1,0))</f>
        <v>0</v>
      </c>
      <c r="M10" s="1" t="n">
        <f aca="false">IF(coding!$I10="",0,IF(ISNUMBER(SEARCH("T9",coding!$I10)),1,0))</f>
        <v>0</v>
      </c>
      <c r="N10" s="1" t="n">
        <f aca="false">IF(coding!$J10="",0,IF(ISNUMBER(SEARCH("T1",coding!$J10)),1,0))</f>
        <v>0</v>
      </c>
      <c r="O10" s="1" t="n">
        <f aca="false">IF(coding!$J10="",0,IF(ISNUMBER(SEARCH("T2",coding!$J10)),1,0))</f>
        <v>0</v>
      </c>
      <c r="P10" s="1" t="n">
        <f aca="false">IF(coding!$J10="",0,IF(ISNUMBER(SEARCH("T3",coding!$J10)),1,0))</f>
        <v>0</v>
      </c>
      <c r="Q10" s="1" t="n">
        <f aca="false">IF(coding!$J10="",0,IF(ISNUMBER(SEARCH("T4",coding!$J10)),1,0))</f>
        <v>0</v>
      </c>
      <c r="R10" s="1" t="n">
        <f aca="false">IF(coding!$J10="",0,IF(ISNUMBER(SEARCH("T5",coding!$J10)),1,0))</f>
        <v>0</v>
      </c>
      <c r="S10" s="1" t="n">
        <f aca="false">IF(coding!$J10="",0,IF(ISNUMBER(SEARCH("T6",coding!$J10)),1,0))</f>
        <v>0</v>
      </c>
      <c r="T10" s="1" t="n">
        <f aca="false">IF(coding!$J10="",0,IF(ISNUMBER(SEARCH("T7",coding!$J10)),1,0))</f>
        <v>0</v>
      </c>
      <c r="U10" s="1" t="n">
        <f aca="false">IF(coding!$J10="",0,IF(ISNUMBER(SEARCH("T8",coding!$J10)),1,0))</f>
        <v>0</v>
      </c>
      <c r="V10" s="1" t="n">
        <f aca="false">IF(coding!$J10="",0,IF(ISNUMBER(SEARCH("T9",coding!$J10)),1,0))</f>
        <v>0</v>
      </c>
      <c r="W10" s="1" t="n">
        <f aca="false">IF(coding!$O10="",0,IF(ISNUMBER(SEARCH("T1",coding!$O10)),1,0))</f>
        <v>0</v>
      </c>
      <c r="X10" s="1" t="n">
        <f aca="false">IF(coding!$O10="",0,IF(ISNUMBER(SEARCH("T2",coding!$O10)),1,0))</f>
        <v>1</v>
      </c>
      <c r="Y10" s="1" t="n">
        <f aca="false">IF(coding!$O10="",0,IF(ISNUMBER(SEARCH("T3",coding!$O10)),1,0))</f>
        <v>0</v>
      </c>
      <c r="Z10" s="1" t="n">
        <f aca="false">IF(coding!$O10="",0,IF(ISNUMBER(SEARCH("T4",coding!$O10)),1,0))</f>
        <v>1</v>
      </c>
      <c r="AA10" s="1" t="n">
        <f aca="false">IF(coding!$O10="",0,IF(ISNUMBER(SEARCH("T5",coding!$O10)),1,0))</f>
        <v>0</v>
      </c>
      <c r="AB10" s="1" t="n">
        <f aca="false">IF(coding!$O10="",0,IF(ISNUMBER(SEARCH("T6",coding!$O10)),1,0))</f>
        <v>0</v>
      </c>
      <c r="AC10" s="1" t="n">
        <f aca="false">IF(coding!$O10="",0,IF(ISNUMBER(SEARCH("T7",coding!$O10)),1,0))</f>
        <v>0</v>
      </c>
      <c r="AD10" s="1" t="n">
        <f aca="false">IF(coding!$O10="",0,IF(ISNUMBER(SEARCH("T8",coding!$O10)),1,0))</f>
        <v>0</v>
      </c>
      <c r="AE10" s="1" t="n">
        <f aca="false">IF(coding!$O10="",0,IF(ISNUMBER(SEARCH("T9",coding!$O10)),1,0))</f>
        <v>0</v>
      </c>
      <c r="AF10" s="1" t="n">
        <f aca="false">SUMPRODUCT($E10:$M10,$N10:$V10)</f>
        <v>0</v>
      </c>
      <c r="AG10" s="1" t="n">
        <f aca="false">SUMPRODUCT(--(($E10:$M10+$N10:$V10)&gt;0))</f>
        <v>0</v>
      </c>
      <c r="AH10" s="1" t="str">
        <f aca="false">IF(AND($B10=1,$C10=1),IF($AG10=0,1,$AF10/$AG10),"")</f>
        <v/>
      </c>
      <c r="AI10" s="1" t="str">
        <f aca="false">IF(AND($B10=1,$C10=1),IF(coding!$I10=coding!$J10,1,0),"")</f>
        <v/>
      </c>
      <c r="AJ10" s="1" t="str">
        <f aca="false">IF($B10=1,IF(SUMPRODUCT(--(($E10:$M10+$W10:$AE10)&gt;0))=0,1,SUMPRODUCT($E10:$M10,$W10:$AE10)/SUMPRODUCT(--(($E10:$M10+$W10:$AE10)&gt;0))),"")</f>
        <v/>
      </c>
      <c r="AK10" s="1" t="str">
        <f aca="false">IF($C10=1,IF(SUMPRODUCT(--(($N10:$V10+$W10:$AE10)&gt;0))=0,1,SUMPRODUCT($N10:$V10,$W10:$AE10)/SUMPRODUCT(--(($N10:$V10+$W10:$AE10)&gt;0))),"")</f>
        <v/>
      </c>
    </row>
    <row r="11" customFormat="false" ht="15" hidden="false" customHeight="true" outlineLevel="0" collapsed="false">
      <c r="A11" s="1" t="str">
        <f aca="false">coding!$A11</f>
        <v>P010</v>
      </c>
      <c r="B11" s="1" t="n">
        <f aca="false">IF(coding!$I11="",0,1)</f>
        <v>0</v>
      </c>
      <c r="C11" s="1" t="n">
        <f aca="false">IF(coding!$J11="",0,1)</f>
        <v>0</v>
      </c>
      <c r="D11" s="1" t="n">
        <f aca="false">IF(coding!$O11="",0,1)</f>
        <v>1</v>
      </c>
      <c r="E11" s="1" t="n">
        <f aca="false">IF(coding!$I11="",0,IF(ISNUMBER(SEARCH("T1",coding!$I11)),1,0))</f>
        <v>0</v>
      </c>
      <c r="F11" s="1" t="n">
        <f aca="false">IF(coding!$I11="",0,IF(ISNUMBER(SEARCH("T2",coding!$I11)),1,0))</f>
        <v>0</v>
      </c>
      <c r="G11" s="1" t="n">
        <f aca="false">IF(coding!$I11="",0,IF(ISNUMBER(SEARCH("T3",coding!$I11)),1,0))</f>
        <v>0</v>
      </c>
      <c r="H11" s="1" t="n">
        <f aca="false">IF(coding!$I11="",0,IF(ISNUMBER(SEARCH("T4",coding!$I11)),1,0))</f>
        <v>0</v>
      </c>
      <c r="I11" s="1" t="n">
        <f aca="false">IF(coding!$I11="",0,IF(ISNUMBER(SEARCH("T5",coding!$I11)),1,0))</f>
        <v>0</v>
      </c>
      <c r="J11" s="1" t="n">
        <f aca="false">IF(coding!$I11="",0,IF(ISNUMBER(SEARCH("T6",coding!$I11)),1,0))</f>
        <v>0</v>
      </c>
      <c r="K11" s="1" t="n">
        <f aca="false">IF(coding!$I11="",0,IF(ISNUMBER(SEARCH("T7",coding!$I11)),1,0))</f>
        <v>0</v>
      </c>
      <c r="L11" s="1" t="n">
        <f aca="false">IF(coding!$I11="",0,IF(ISNUMBER(SEARCH("T8",coding!$I11)),1,0))</f>
        <v>0</v>
      </c>
      <c r="M11" s="1" t="n">
        <f aca="false">IF(coding!$I11="",0,IF(ISNUMBER(SEARCH("T9",coding!$I11)),1,0))</f>
        <v>0</v>
      </c>
      <c r="N11" s="1" t="n">
        <f aca="false">IF(coding!$J11="",0,IF(ISNUMBER(SEARCH("T1",coding!$J11)),1,0))</f>
        <v>0</v>
      </c>
      <c r="O11" s="1" t="n">
        <f aca="false">IF(coding!$J11="",0,IF(ISNUMBER(SEARCH("T2",coding!$J11)),1,0))</f>
        <v>0</v>
      </c>
      <c r="P11" s="1" t="n">
        <f aca="false">IF(coding!$J11="",0,IF(ISNUMBER(SEARCH("T3",coding!$J11)),1,0))</f>
        <v>0</v>
      </c>
      <c r="Q11" s="1" t="n">
        <f aca="false">IF(coding!$J11="",0,IF(ISNUMBER(SEARCH("T4",coding!$J11)),1,0))</f>
        <v>0</v>
      </c>
      <c r="R11" s="1" t="n">
        <f aca="false">IF(coding!$J11="",0,IF(ISNUMBER(SEARCH("T5",coding!$J11)),1,0))</f>
        <v>0</v>
      </c>
      <c r="S11" s="1" t="n">
        <f aca="false">IF(coding!$J11="",0,IF(ISNUMBER(SEARCH("T6",coding!$J11)),1,0))</f>
        <v>0</v>
      </c>
      <c r="T11" s="1" t="n">
        <f aca="false">IF(coding!$J11="",0,IF(ISNUMBER(SEARCH("T7",coding!$J11)),1,0))</f>
        <v>0</v>
      </c>
      <c r="U11" s="1" t="n">
        <f aca="false">IF(coding!$J11="",0,IF(ISNUMBER(SEARCH("T8",coding!$J11)),1,0))</f>
        <v>0</v>
      </c>
      <c r="V11" s="1" t="n">
        <f aca="false">IF(coding!$J11="",0,IF(ISNUMBER(SEARCH("T9",coding!$J11)),1,0))</f>
        <v>0</v>
      </c>
      <c r="W11" s="1" t="n">
        <f aca="false">IF(coding!$O11="",0,IF(ISNUMBER(SEARCH("T1",coding!$O11)),1,0))</f>
        <v>0</v>
      </c>
      <c r="X11" s="1" t="n">
        <f aca="false">IF(coding!$O11="",0,IF(ISNUMBER(SEARCH("T2",coding!$O11)),1,0))</f>
        <v>0</v>
      </c>
      <c r="Y11" s="1" t="n">
        <f aca="false">IF(coding!$O11="",0,IF(ISNUMBER(SEARCH("T3",coding!$O11)),1,0))</f>
        <v>1</v>
      </c>
      <c r="Z11" s="1" t="n">
        <f aca="false">IF(coding!$O11="",0,IF(ISNUMBER(SEARCH("T4",coding!$O11)),1,0))</f>
        <v>0</v>
      </c>
      <c r="AA11" s="1" t="n">
        <f aca="false">IF(coding!$O11="",0,IF(ISNUMBER(SEARCH("T5",coding!$O11)),1,0))</f>
        <v>0</v>
      </c>
      <c r="AB11" s="1" t="n">
        <f aca="false">IF(coding!$O11="",0,IF(ISNUMBER(SEARCH("T6",coding!$O11)),1,0))</f>
        <v>0</v>
      </c>
      <c r="AC11" s="1" t="n">
        <f aca="false">IF(coding!$O11="",0,IF(ISNUMBER(SEARCH("T7",coding!$O11)),1,0))</f>
        <v>1</v>
      </c>
      <c r="AD11" s="1" t="n">
        <f aca="false">IF(coding!$O11="",0,IF(ISNUMBER(SEARCH("T8",coding!$O11)),1,0))</f>
        <v>0</v>
      </c>
      <c r="AE11" s="1" t="n">
        <f aca="false">IF(coding!$O11="",0,IF(ISNUMBER(SEARCH("T9",coding!$O11)),1,0))</f>
        <v>0</v>
      </c>
      <c r="AF11" s="1" t="n">
        <f aca="false">SUMPRODUCT($E11:$M11,$N11:$V11)</f>
        <v>0</v>
      </c>
      <c r="AG11" s="1" t="n">
        <f aca="false">SUMPRODUCT(--(($E11:$M11+$N11:$V11)&gt;0))</f>
        <v>0</v>
      </c>
      <c r="AH11" s="1" t="str">
        <f aca="false">IF(AND($B11=1,$C11=1),IF($AG11=0,1,$AF11/$AG11),"")</f>
        <v/>
      </c>
      <c r="AI11" s="1" t="str">
        <f aca="false">IF(AND($B11=1,$C11=1),IF(coding!$I11=coding!$J11,1,0),"")</f>
        <v/>
      </c>
      <c r="AJ11" s="1" t="str">
        <f aca="false">IF($B11=1,IF(SUMPRODUCT(--(($E11:$M11+$W11:$AE11)&gt;0))=0,1,SUMPRODUCT($E11:$M11,$W11:$AE11)/SUMPRODUCT(--(($E11:$M11+$W11:$AE11)&gt;0))),"")</f>
        <v/>
      </c>
      <c r="AK11" s="1" t="str">
        <f aca="false">IF($C11=1,IF(SUMPRODUCT(--(($N11:$V11+$W11:$AE11)&gt;0))=0,1,SUMPRODUCT($N11:$V11,$W11:$AE11)/SUMPRODUCT(--(($N11:$V11+$W11:$AE11)&gt;0))),"")</f>
        <v/>
      </c>
    </row>
    <row r="12" customFormat="false" ht="15" hidden="false" customHeight="true" outlineLevel="0" collapsed="false">
      <c r="A12" s="1" t="str">
        <f aca="false">coding!$A12</f>
        <v>P011</v>
      </c>
      <c r="B12" s="1" t="n">
        <f aca="false">IF(coding!$I12="",0,1)</f>
        <v>0</v>
      </c>
      <c r="C12" s="1" t="n">
        <f aca="false">IF(coding!$J12="",0,1)</f>
        <v>0</v>
      </c>
      <c r="D12" s="1" t="n">
        <f aca="false">IF(coding!$O12="",0,1)</f>
        <v>1</v>
      </c>
      <c r="E12" s="1" t="n">
        <f aca="false">IF(coding!$I12="",0,IF(ISNUMBER(SEARCH("T1",coding!$I12)),1,0))</f>
        <v>0</v>
      </c>
      <c r="F12" s="1" t="n">
        <f aca="false">IF(coding!$I12="",0,IF(ISNUMBER(SEARCH("T2",coding!$I12)),1,0))</f>
        <v>0</v>
      </c>
      <c r="G12" s="1" t="n">
        <f aca="false">IF(coding!$I12="",0,IF(ISNUMBER(SEARCH("T3",coding!$I12)),1,0))</f>
        <v>0</v>
      </c>
      <c r="H12" s="1" t="n">
        <f aca="false">IF(coding!$I12="",0,IF(ISNUMBER(SEARCH("T4",coding!$I12)),1,0))</f>
        <v>0</v>
      </c>
      <c r="I12" s="1" t="n">
        <f aca="false">IF(coding!$I12="",0,IF(ISNUMBER(SEARCH("T5",coding!$I12)),1,0))</f>
        <v>0</v>
      </c>
      <c r="J12" s="1" t="n">
        <f aca="false">IF(coding!$I12="",0,IF(ISNUMBER(SEARCH("T6",coding!$I12)),1,0))</f>
        <v>0</v>
      </c>
      <c r="K12" s="1" t="n">
        <f aca="false">IF(coding!$I12="",0,IF(ISNUMBER(SEARCH("T7",coding!$I12)),1,0))</f>
        <v>0</v>
      </c>
      <c r="L12" s="1" t="n">
        <f aca="false">IF(coding!$I12="",0,IF(ISNUMBER(SEARCH("T8",coding!$I12)),1,0))</f>
        <v>0</v>
      </c>
      <c r="M12" s="1" t="n">
        <f aca="false">IF(coding!$I12="",0,IF(ISNUMBER(SEARCH("T9",coding!$I12)),1,0))</f>
        <v>0</v>
      </c>
      <c r="N12" s="1" t="n">
        <f aca="false">IF(coding!$J12="",0,IF(ISNUMBER(SEARCH("T1",coding!$J12)),1,0))</f>
        <v>0</v>
      </c>
      <c r="O12" s="1" t="n">
        <f aca="false">IF(coding!$J12="",0,IF(ISNUMBER(SEARCH("T2",coding!$J12)),1,0))</f>
        <v>0</v>
      </c>
      <c r="P12" s="1" t="n">
        <f aca="false">IF(coding!$J12="",0,IF(ISNUMBER(SEARCH("T3",coding!$J12)),1,0))</f>
        <v>0</v>
      </c>
      <c r="Q12" s="1" t="n">
        <f aca="false">IF(coding!$J12="",0,IF(ISNUMBER(SEARCH("T4",coding!$J12)),1,0))</f>
        <v>0</v>
      </c>
      <c r="R12" s="1" t="n">
        <f aca="false">IF(coding!$J12="",0,IF(ISNUMBER(SEARCH("T5",coding!$J12)),1,0))</f>
        <v>0</v>
      </c>
      <c r="S12" s="1" t="n">
        <f aca="false">IF(coding!$J12="",0,IF(ISNUMBER(SEARCH("T6",coding!$J12)),1,0))</f>
        <v>0</v>
      </c>
      <c r="T12" s="1" t="n">
        <f aca="false">IF(coding!$J12="",0,IF(ISNUMBER(SEARCH("T7",coding!$J12)),1,0))</f>
        <v>0</v>
      </c>
      <c r="U12" s="1" t="n">
        <f aca="false">IF(coding!$J12="",0,IF(ISNUMBER(SEARCH("T8",coding!$J12)),1,0))</f>
        <v>0</v>
      </c>
      <c r="V12" s="1" t="n">
        <f aca="false">IF(coding!$J12="",0,IF(ISNUMBER(SEARCH("T9",coding!$J12)),1,0))</f>
        <v>0</v>
      </c>
      <c r="W12" s="1" t="n">
        <f aca="false">IF(coding!$O12="",0,IF(ISNUMBER(SEARCH("T1",coding!$O12)),1,0))</f>
        <v>0</v>
      </c>
      <c r="X12" s="1" t="n">
        <f aca="false">IF(coding!$O12="",0,IF(ISNUMBER(SEARCH("T2",coding!$O12)),1,0))</f>
        <v>0</v>
      </c>
      <c r="Y12" s="1" t="n">
        <f aca="false">IF(coding!$O12="",0,IF(ISNUMBER(SEARCH("T3",coding!$O12)),1,0))</f>
        <v>0</v>
      </c>
      <c r="Z12" s="1" t="n">
        <f aca="false">IF(coding!$O12="",0,IF(ISNUMBER(SEARCH("T4",coding!$O12)),1,0))</f>
        <v>0</v>
      </c>
      <c r="AA12" s="1" t="n">
        <f aca="false">IF(coding!$O12="",0,IF(ISNUMBER(SEARCH("T5",coding!$O12)),1,0))</f>
        <v>0</v>
      </c>
      <c r="AB12" s="1" t="n">
        <f aca="false">IF(coding!$O12="",0,IF(ISNUMBER(SEARCH("T6",coding!$O12)),1,0))</f>
        <v>1</v>
      </c>
      <c r="AC12" s="1" t="n">
        <f aca="false">IF(coding!$O12="",0,IF(ISNUMBER(SEARCH("T7",coding!$O12)),1,0))</f>
        <v>0</v>
      </c>
      <c r="AD12" s="1" t="n">
        <f aca="false">IF(coding!$O12="",0,IF(ISNUMBER(SEARCH("T8",coding!$O12)),1,0))</f>
        <v>0</v>
      </c>
      <c r="AE12" s="1" t="n">
        <f aca="false">IF(coding!$O12="",0,IF(ISNUMBER(SEARCH("T9",coding!$O12)),1,0))</f>
        <v>0</v>
      </c>
      <c r="AF12" s="1" t="n">
        <f aca="false">SUMPRODUCT($E12:$M12,$N12:$V12)</f>
        <v>0</v>
      </c>
      <c r="AG12" s="1" t="n">
        <f aca="false">SUMPRODUCT(--(($E12:$M12+$N12:$V12)&gt;0))</f>
        <v>0</v>
      </c>
      <c r="AH12" s="1" t="str">
        <f aca="false">IF(AND($B12=1,$C12=1),IF($AG12=0,1,$AF12/$AG12),"")</f>
        <v/>
      </c>
      <c r="AI12" s="1" t="str">
        <f aca="false">IF(AND($B12=1,$C12=1),IF(coding!$I12=coding!$J12,1,0),"")</f>
        <v/>
      </c>
      <c r="AJ12" s="1" t="str">
        <f aca="false">IF($B12=1,IF(SUMPRODUCT(--(($E12:$M12+$W12:$AE12)&gt;0))=0,1,SUMPRODUCT($E12:$M12,$W12:$AE12)/SUMPRODUCT(--(($E12:$M12+$W12:$AE12)&gt;0))),"")</f>
        <v/>
      </c>
      <c r="AK12" s="1" t="str">
        <f aca="false">IF($C12=1,IF(SUMPRODUCT(--(($N12:$V12+$W12:$AE12)&gt;0))=0,1,SUMPRODUCT($N12:$V12,$W12:$AE12)/SUMPRODUCT(--(($N12:$V12+$W12:$AE12)&gt;0))),"")</f>
        <v/>
      </c>
    </row>
    <row r="13" customFormat="false" ht="15" hidden="false" customHeight="true" outlineLevel="0" collapsed="false">
      <c r="A13" s="1" t="str">
        <f aca="false">coding!$A13</f>
        <v>P012</v>
      </c>
      <c r="B13" s="1" t="n">
        <f aca="false">IF(coding!$I13="",0,1)</f>
        <v>0</v>
      </c>
      <c r="C13" s="1" t="n">
        <f aca="false">IF(coding!$J13="",0,1)</f>
        <v>0</v>
      </c>
      <c r="D13" s="1" t="n">
        <f aca="false">IF(coding!$O13="",0,1)</f>
        <v>1</v>
      </c>
      <c r="E13" s="1" t="n">
        <f aca="false">IF(coding!$I13="",0,IF(ISNUMBER(SEARCH("T1",coding!$I13)),1,0))</f>
        <v>0</v>
      </c>
      <c r="F13" s="1" t="n">
        <f aca="false">IF(coding!$I13="",0,IF(ISNUMBER(SEARCH("T2",coding!$I13)),1,0))</f>
        <v>0</v>
      </c>
      <c r="G13" s="1" t="n">
        <f aca="false">IF(coding!$I13="",0,IF(ISNUMBER(SEARCH("T3",coding!$I13)),1,0))</f>
        <v>0</v>
      </c>
      <c r="H13" s="1" t="n">
        <f aca="false">IF(coding!$I13="",0,IF(ISNUMBER(SEARCH("T4",coding!$I13)),1,0))</f>
        <v>0</v>
      </c>
      <c r="I13" s="1" t="n">
        <f aca="false">IF(coding!$I13="",0,IF(ISNUMBER(SEARCH("T5",coding!$I13)),1,0))</f>
        <v>0</v>
      </c>
      <c r="J13" s="1" t="n">
        <f aca="false">IF(coding!$I13="",0,IF(ISNUMBER(SEARCH("T6",coding!$I13)),1,0))</f>
        <v>0</v>
      </c>
      <c r="K13" s="1" t="n">
        <f aca="false">IF(coding!$I13="",0,IF(ISNUMBER(SEARCH("T7",coding!$I13)),1,0))</f>
        <v>0</v>
      </c>
      <c r="L13" s="1" t="n">
        <f aca="false">IF(coding!$I13="",0,IF(ISNUMBER(SEARCH("T8",coding!$I13)),1,0))</f>
        <v>0</v>
      </c>
      <c r="M13" s="1" t="n">
        <f aca="false">IF(coding!$I13="",0,IF(ISNUMBER(SEARCH("T9",coding!$I13)),1,0))</f>
        <v>0</v>
      </c>
      <c r="N13" s="1" t="n">
        <f aca="false">IF(coding!$J13="",0,IF(ISNUMBER(SEARCH("T1",coding!$J13)),1,0))</f>
        <v>0</v>
      </c>
      <c r="O13" s="1" t="n">
        <f aca="false">IF(coding!$J13="",0,IF(ISNUMBER(SEARCH("T2",coding!$J13)),1,0))</f>
        <v>0</v>
      </c>
      <c r="P13" s="1" t="n">
        <f aca="false">IF(coding!$J13="",0,IF(ISNUMBER(SEARCH("T3",coding!$J13)),1,0))</f>
        <v>0</v>
      </c>
      <c r="Q13" s="1" t="n">
        <f aca="false">IF(coding!$J13="",0,IF(ISNUMBER(SEARCH("T4",coding!$J13)),1,0))</f>
        <v>0</v>
      </c>
      <c r="R13" s="1" t="n">
        <f aca="false">IF(coding!$J13="",0,IF(ISNUMBER(SEARCH("T5",coding!$J13)),1,0))</f>
        <v>0</v>
      </c>
      <c r="S13" s="1" t="n">
        <f aca="false">IF(coding!$J13="",0,IF(ISNUMBER(SEARCH("T6",coding!$J13)),1,0))</f>
        <v>0</v>
      </c>
      <c r="T13" s="1" t="n">
        <f aca="false">IF(coding!$J13="",0,IF(ISNUMBER(SEARCH("T7",coding!$J13)),1,0))</f>
        <v>0</v>
      </c>
      <c r="U13" s="1" t="n">
        <f aca="false">IF(coding!$J13="",0,IF(ISNUMBER(SEARCH("T8",coding!$J13)),1,0))</f>
        <v>0</v>
      </c>
      <c r="V13" s="1" t="n">
        <f aca="false">IF(coding!$J13="",0,IF(ISNUMBER(SEARCH("T9",coding!$J13)),1,0))</f>
        <v>0</v>
      </c>
      <c r="W13" s="1" t="n">
        <f aca="false">IF(coding!$O13="",0,IF(ISNUMBER(SEARCH("T1",coding!$O13)),1,0))</f>
        <v>0</v>
      </c>
      <c r="X13" s="1" t="n">
        <f aca="false">IF(coding!$O13="",0,IF(ISNUMBER(SEARCH("T2",coding!$O13)),1,0))</f>
        <v>1</v>
      </c>
      <c r="Y13" s="1" t="n">
        <f aca="false">IF(coding!$O13="",0,IF(ISNUMBER(SEARCH("T3",coding!$O13)),1,0))</f>
        <v>0</v>
      </c>
      <c r="Z13" s="1" t="n">
        <f aca="false">IF(coding!$O13="",0,IF(ISNUMBER(SEARCH("T4",coding!$O13)),1,0))</f>
        <v>0</v>
      </c>
      <c r="AA13" s="1" t="n">
        <f aca="false">IF(coding!$O13="",0,IF(ISNUMBER(SEARCH("T5",coding!$O13)),1,0))</f>
        <v>0</v>
      </c>
      <c r="AB13" s="1" t="n">
        <f aca="false">IF(coding!$O13="",0,IF(ISNUMBER(SEARCH("T6",coding!$O13)),1,0))</f>
        <v>0</v>
      </c>
      <c r="AC13" s="1" t="n">
        <f aca="false">IF(coding!$O13="",0,IF(ISNUMBER(SEARCH("T7",coding!$O13)),1,0))</f>
        <v>0</v>
      </c>
      <c r="AD13" s="1" t="n">
        <f aca="false">IF(coding!$O13="",0,IF(ISNUMBER(SEARCH("T8",coding!$O13)),1,0))</f>
        <v>0</v>
      </c>
      <c r="AE13" s="1" t="n">
        <f aca="false">IF(coding!$O13="",0,IF(ISNUMBER(SEARCH("T9",coding!$O13)),1,0))</f>
        <v>0</v>
      </c>
      <c r="AF13" s="1" t="n">
        <f aca="false">SUMPRODUCT($E13:$M13,$N13:$V13)</f>
        <v>0</v>
      </c>
      <c r="AG13" s="1" t="n">
        <f aca="false">SUMPRODUCT(--(($E13:$M13+$N13:$V13)&gt;0))</f>
        <v>0</v>
      </c>
      <c r="AH13" s="1" t="str">
        <f aca="false">IF(AND($B13=1,$C13=1),IF($AG13=0,1,$AF13/$AG13),"")</f>
        <v/>
      </c>
      <c r="AI13" s="1" t="str">
        <f aca="false">IF(AND($B13=1,$C13=1),IF(coding!$I13=coding!$J13,1,0),"")</f>
        <v/>
      </c>
      <c r="AJ13" s="1" t="str">
        <f aca="false">IF($B13=1,IF(SUMPRODUCT(--(($E13:$M13+$W13:$AE13)&gt;0))=0,1,SUMPRODUCT($E13:$M13,$W13:$AE13)/SUMPRODUCT(--(($E13:$M13+$W13:$AE13)&gt;0))),"")</f>
        <v/>
      </c>
      <c r="AK13" s="1" t="str">
        <f aca="false">IF($C13=1,IF(SUMPRODUCT(--(($N13:$V13+$W13:$AE13)&gt;0))=0,1,SUMPRODUCT($N13:$V13,$W13:$AE13)/SUMPRODUCT(--(($N13:$V13+$W13:$AE13)&gt;0))),"")</f>
        <v/>
      </c>
    </row>
    <row r="14" customFormat="false" ht="15" hidden="false" customHeight="true" outlineLevel="0" collapsed="false">
      <c r="A14" s="1" t="str">
        <f aca="false">coding!$A14</f>
        <v>P013</v>
      </c>
      <c r="B14" s="1" t="n">
        <f aca="false">IF(coding!$I14="",0,1)</f>
        <v>0</v>
      </c>
      <c r="C14" s="1" t="n">
        <f aca="false">IF(coding!$J14="",0,1)</f>
        <v>0</v>
      </c>
      <c r="D14" s="1" t="n">
        <f aca="false">IF(coding!$O14="",0,1)</f>
        <v>1</v>
      </c>
      <c r="E14" s="1" t="n">
        <f aca="false">IF(coding!$I14="",0,IF(ISNUMBER(SEARCH("T1",coding!$I14)),1,0))</f>
        <v>0</v>
      </c>
      <c r="F14" s="1" t="n">
        <f aca="false">IF(coding!$I14="",0,IF(ISNUMBER(SEARCH("T2",coding!$I14)),1,0))</f>
        <v>0</v>
      </c>
      <c r="G14" s="1" t="n">
        <f aca="false">IF(coding!$I14="",0,IF(ISNUMBER(SEARCH("T3",coding!$I14)),1,0))</f>
        <v>0</v>
      </c>
      <c r="H14" s="1" t="n">
        <f aca="false">IF(coding!$I14="",0,IF(ISNUMBER(SEARCH("T4",coding!$I14)),1,0))</f>
        <v>0</v>
      </c>
      <c r="I14" s="1" t="n">
        <f aca="false">IF(coding!$I14="",0,IF(ISNUMBER(SEARCH("T5",coding!$I14)),1,0))</f>
        <v>0</v>
      </c>
      <c r="J14" s="1" t="n">
        <f aca="false">IF(coding!$I14="",0,IF(ISNUMBER(SEARCH("T6",coding!$I14)),1,0))</f>
        <v>0</v>
      </c>
      <c r="K14" s="1" t="n">
        <f aca="false">IF(coding!$I14="",0,IF(ISNUMBER(SEARCH("T7",coding!$I14)),1,0))</f>
        <v>0</v>
      </c>
      <c r="L14" s="1" t="n">
        <f aca="false">IF(coding!$I14="",0,IF(ISNUMBER(SEARCH("T8",coding!$I14)),1,0))</f>
        <v>0</v>
      </c>
      <c r="M14" s="1" t="n">
        <f aca="false">IF(coding!$I14="",0,IF(ISNUMBER(SEARCH("T9",coding!$I14)),1,0))</f>
        <v>0</v>
      </c>
      <c r="N14" s="1" t="n">
        <f aca="false">IF(coding!$J14="",0,IF(ISNUMBER(SEARCH("T1",coding!$J14)),1,0))</f>
        <v>0</v>
      </c>
      <c r="O14" s="1" t="n">
        <f aca="false">IF(coding!$J14="",0,IF(ISNUMBER(SEARCH("T2",coding!$J14)),1,0))</f>
        <v>0</v>
      </c>
      <c r="P14" s="1" t="n">
        <f aca="false">IF(coding!$J14="",0,IF(ISNUMBER(SEARCH("T3",coding!$J14)),1,0))</f>
        <v>0</v>
      </c>
      <c r="Q14" s="1" t="n">
        <f aca="false">IF(coding!$J14="",0,IF(ISNUMBER(SEARCH("T4",coding!$J14)),1,0))</f>
        <v>0</v>
      </c>
      <c r="R14" s="1" t="n">
        <f aca="false">IF(coding!$J14="",0,IF(ISNUMBER(SEARCH("T5",coding!$J14)),1,0))</f>
        <v>0</v>
      </c>
      <c r="S14" s="1" t="n">
        <f aca="false">IF(coding!$J14="",0,IF(ISNUMBER(SEARCH("T6",coding!$J14)),1,0))</f>
        <v>0</v>
      </c>
      <c r="T14" s="1" t="n">
        <f aca="false">IF(coding!$J14="",0,IF(ISNUMBER(SEARCH("T7",coding!$J14)),1,0))</f>
        <v>0</v>
      </c>
      <c r="U14" s="1" t="n">
        <f aca="false">IF(coding!$J14="",0,IF(ISNUMBER(SEARCH("T8",coding!$J14)),1,0))</f>
        <v>0</v>
      </c>
      <c r="V14" s="1" t="n">
        <f aca="false">IF(coding!$J14="",0,IF(ISNUMBER(SEARCH("T9",coding!$J14)),1,0))</f>
        <v>0</v>
      </c>
      <c r="W14" s="1" t="n">
        <f aca="false">IF(coding!$O14="",0,IF(ISNUMBER(SEARCH("T1",coding!$O14)),1,0))</f>
        <v>1</v>
      </c>
      <c r="X14" s="1" t="n">
        <f aca="false">IF(coding!$O14="",0,IF(ISNUMBER(SEARCH("T2",coding!$O14)),1,0))</f>
        <v>0</v>
      </c>
      <c r="Y14" s="1" t="n">
        <f aca="false">IF(coding!$O14="",0,IF(ISNUMBER(SEARCH("T3",coding!$O14)),1,0))</f>
        <v>0</v>
      </c>
      <c r="Z14" s="1" t="n">
        <f aca="false">IF(coding!$O14="",0,IF(ISNUMBER(SEARCH("T4",coding!$O14)),1,0))</f>
        <v>0</v>
      </c>
      <c r="AA14" s="1" t="n">
        <f aca="false">IF(coding!$O14="",0,IF(ISNUMBER(SEARCH("T5",coding!$O14)),1,0))</f>
        <v>0</v>
      </c>
      <c r="AB14" s="1" t="n">
        <f aca="false">IF(coding!$O14="",0,IF(ISNUMBER(SEARCH("T6",coding!$O14)),1,0))</f>
        <v>0</v>
      </c>
      <c r="AC14" s="1" t="n">
        <f aca="false">IF(coding!$O14="",0,IF(ISNUMBER(SEARCH("T7",coding!$O14)),1,0))</f>
        <v>0</v>
      </c>
      <c r="AD14" s="1" t="n">
        <f aca="false">IF(coding!$O14="",0,IF(ISNUMBER(SEARCH("T8",coding!$O14)),1,0))</f>
        <v>0</v>
      </c>
      <c r="AE14" s="1" t="n">
        <f aca="false">IF(coding!$O14="",0,IF(ISNUMBER(SEARCH("T9",coding!$O14)),1,0))</f>
        <v>0</v>
      </c>
      <c r="AF14" s="1" t="n">
        <f aca="false">SUMPRODUCT($E14:$M14,$N14:$V14)</f>
        <v>0</v>
      </c>
      <c r="AG14" s="1" t="n">
        <f aca="false">SUMPRODUCT(--(($E14:$M14+$N14:$V14)&gt;0))</f>
        <v>0</v>
      </c>
      <c r="AH14" s="1" t="str">
        <f aca="false">IF(AND($B14=1,$C14=1),IF($AG14=0,1,$AF14/$AG14),"")</f>
        <v/>
      </c>
      <c r="AI14" s="1" t="str">
        <f aca="false">IF(AND($B14=1,$C14=1),IF(coding!$I14=coding!$J14,1,0),"")</f>
        <v/>
      </c>
      <c r="AJ14" s="1" t="str">
        <f aca="false">IF($B14=1,IF(SUMPRODUCT(--(($E14:$M14+$W14:$AE14)&gt;0))=0,1,SUMPRODUCT($E14:$M14,$W14:$AE14)/SUMPRODUCT(--(($E14:$M14+$W14:$AE14)&gt;0))),"")</f>
        <v/>
      </c>
      <c r="AK14" s="1" t="str">
        <f aca="false">IF($C14=1,IF(SUMPRODUCT(--(($N14:$V14+$W14:$AE14)&gt;0))=0,1,SUMPRODUCT($N14:$V14,$W14:$AE14)/SUMPRODUCT(--(($N14:$V14+$W14:$AE14)&gt;0))),"")</f>
        <v/>
      </c>
    </row>
    <row r="15" customFormat="false" ht="15" hidden="false" customHeight="true" outlineLevel="0" collapsed="false">
      <c r="A15" s="1" t="str">
        <f aca="false">coding!$A15</f>
        <v>P014</v>
      </c>
      <c r="B15" s="1" t="n">
        <f aca="false">IF(coding!$I15="",0,1)</f>
        <v>0</v>
      </c>
      <c r="C15" s="1" t="n">
        <f aca="false">IF(coding!$J15="",0,1)</f>
        <v>0</v>
      </c>
      <c r="D15" s="1" t="n">
        <f aca="false">IF(coding!$O15="",0,1)</f>
        <v>1</v>
      </c>
      <c r="E15" s="1" t="n">
        <f aca="false">IF(coding!$I15="",0,IF(ISNUMBER(SEARCH("T1",coding!$I15)),1,0))</f>
        <v>0</v>
      </c>
      <c r="F15" s="1" t="n">
        <f aca="false">IF(coding!$I15="",0,IF(ISNUMBER(SEARCH("T2",coding!$I15)),1,0))</f>
        <v>0</v>
      </c>
      <c r="G15" s="1" t="n">
        <f aca="false">IF(coding!$I15="",0,IF(ISNUMBER(SEARCH("T3",coding!$I15)),1,0))</f>
        <v>0</v>
      </c>
      <c r="H15" s="1" t="n">
        <f aca="false">IF(coding!$I15="",0,IF(ISNUMBER(SEARCH("T4",coding!$I15)),1,0))</f>
        <v>0</v>
      </c>
      <c r="I15" s="1" t="n">
        <f aca="false">IF(coding!$I15="",0,IF(ISNUMBER(SEARCH("T5",coding!$I15)),1,0))</f>
        <v>0</v>
      </c>
      <c r="J15" s="1" t="n">
        <f aca="false">IF(coding!$I15="",0,IF(ISNUMBER(SEARCH("T6",coding!$I15)),1,0))</f>
        <v>0</v>
      </c>
      <c r="K15" s="1" t="n">
        <f aca="false">IF(coding!$I15="",0,IF(ISNUMBER(SEARCH("T7",coding!$I15)),1,0))</f>
        <v>0</v>
      </c>
      <c r="L15" s="1" t="n">
        <f aca="false">IF(coding!$I15="",0,IF(ISNUMBER(SEARCH("T8",coding!$I15)),1,0))</f>
        <v>0</v>
      </c>
      <c r="M15" s="1" t="n">
        <f aca="false">IF(coding!$I15="",0,IF(ISNUMBER(SEARCH("T9",coding!$I15)),1,0))</f>
        <v>0</v>
      </c>
      <c r="N15" s="1" t="n">
        <f aca="false">IF(coding!$J15="",0,IF(ISNUMBER(SEARCH("T1",coding!$J15)),1,0))</f>
        <v>0</v>
      </c>
      <c r="O15" s="1" t="n">
        <f aca="false">IF(coding!$J15="",0,IF(ISNUMBER(SEARCH("T2",coding!$J15)),1,0))</f>
        <v>0</v>
      </c>
      <c r="P15" s="1" t="n">
        <f aca="false">IF(coding!$J15="",0,IF(ISNUMBER(SEARCH("T3",coding!$J15)),1,0))</f>
        <v>0</v>
      </c>
      <c r="Q15" s="1" t="n">
        <f aca="false">IF(coding!$J15="",0,IF(ISNUMBER(SEARCH("T4",coding!$J15)),1,0))</f>
        <v>0</v>
      </c>
      <c r="R15" s="1" t="n">
        <f aca="false">IF(coding!$J15="",0,IF(ISNUMBER(SEARCH("T5",coding!$J15)),1,0))</f>
        <v>0</v>
      </c>
      <c r="S15" s="1" t="n">
        <f aca="false">IF(coding!$J15="",0,IF(ISNUMBER(SEARCH("T6",coding!$J15)),1,0))</f>
        <v>0</v>
      </c>
      <c r="T15" s="1" t="n">
        <f aca="false">IF(coding!$J15="",0,IF(ISNUMBER(SEARCH("T7",coding!$J15)),1,0))</f>
        <v>0</v>
      </c>
      <c r="U15" s="1" t="n">
        <f aca="false">IF(coding!$J15="",0,IF(ISNUMBER(SEARCH("T8",coding!$J15)),1,0))</f>
        <v>0</v>
      </c>
      <c r="V15" s="1" t="n">
        <f aca="false">IF(coding!$J15="",0,IF(ISNUMBER(SEARCH("T9",coding!$J15)),1,0))</f>
        <v>0</v>
      </c>
      <c r="W15" s="1" t="n">
        <f aca="false">IF(coding!$O15="",0,IF(ISNUMBER(SEARCH("T1",coding!$O15)),1,0))</f>
        <v>1</v>
      </c>
      <c r="X15" s="1" t="n">
        <f aca="false">IF(coding!$O15="",0,IF(ISNUMBER(SEARCH("T2",coding!$O15)),1,0))</f>
        <v>0</v>
      </c>
      <c r="Y15" s="1" t="n">
        <f aca="false">IF(coding!$O15="",0,IF(ISNUMBER(SEARCH("T3",coding!$O15)),1,0))</f>
        <v>0</v>
      </c>
      <c r="Z15" s="1" t="n">
        <f aca="false">IF(coding!$O15="",0,IF(ISNUMBER(SEARCH("T4",coding!$O15)),1,0))</f>
        <v>0</v>
      </c>
      <c r="AA15" s="1" t="n">
        <f aca="false">IF(coding!$O15="",0,IF(ISNUMBER(SEARCH("T5",coding!$O15)),1,0))</f>
        <v>1</v>
      </c>
      <c r="AB15" s="1" t="n">
        <f aca="false">IF(coding!$O15="",0,IF(ISNUMBER(SEARCH("T6",coding!$O15)),1,0))</f>
        <v>0</v>
      </c>
      <c r="AC15" s="1" t="n">
        <f aca="false">IF(coding!$O15="",0,IF(ISNUMBER(SEARCH("T7",coding!$O15)),1,0))</f>
        <v>0</v>
      </c>
      <c r="AD15" s="1" t="n">
        <f aca="false">IF(coding!$O15="",0,IF(ISNUMBER(SEARCH("T8",coding!$O15)),1,0))</f>
        <v>0</v>
      </c>
      <c r="AE15" s="1" t="n">
        <f aca="false">IF(coding!$O15="",0,IF(ISNUMBER(SEARCH("T9",coding!$O15)),1,0))</f>
        <v>0</v>
      </c>
      <c r="AF15" s="1" t="n">
        <f aca="false">SUMPRODUCT($E15:$M15,$N15:$V15)</f>
        <v>0</v>
      </c>
      <c r="AG15" s="1" t="n">
        <f aca="false">SUMPRODUCT(--(($E15:$M15+$N15:$V15)&gt;0))</f>
        <v>0</v>
      </c>
      <c r="AH15" s="1" t="str">
        <f aca="false">IF(AND($B15=1,$C15=1),IF($AG15=0,1,$AF15/$AG15),"")</f>
        <v/>
      </c>
      <c r="AI15" s="1" t="str">
        <f aca="false">IF(AND($B15=1,$C15=1),IF(coding!$I15=coding!$J15,1,0),"")</f>
        <v/>
      </c>
      <c r="AJ15" s="1" t="str">
        <f aca="false">IF($B15=1,IF(SUMPRODUCT(--(($E15:$M15+$W15:$AE15)&gt;0))=0,1,SUMPRODUCT($E15:$M15,$W15:$AE15)/SUMPRODUCT(--(($E15:$M15+$W15:$AE15)&gt;0))),"")</f>
        <v/>
      </c>
      <c r="AK15" s="1" t="str">
        <f aca="false">IF($C15=1,IF(SUMPRODUCT(--(($N15:$V15+$W15:$AE15)&gt;0))=0,1,SUMPRODUCT($N15:$V15,$W15:$AE15)/SUMPRODUCT(--(($N15:$V15+$W15:$AE15)&gt;0))),"")</f>
        <v/>
      </c>
    </row>
    <row r="16" customFormat="false" ht="15" hidden="false" customHeight="true" outlineLevel="0" collapsed="false">
      <c r="A16" s="1" t="str">
        <f aca="false">coding!$A16</f>
        <v>P015</v>
      </c>
      <c r="B16" s="1" t="n">
        <f aca="false">IF(coding!$I16="",0,1)</f>
        <v>0</v>
      </c>
      <c r="C16" s="1" t="n">
        <f aca="false">IF(coding!$J16="",0,1)</f>
        <v>0</v>
      </c>
      <c r="D16" s="1" t="n">
        <f aca="false">IF(coding!$O16="",0,1)</f>
        <v>1</v>
      </c>
      <c r="E16" s="1" t="n">
        <f aca="false">IF(coding!$I16="",0,IF(ISNUMBER(SEARCH("T1",coding!$I16)),1,0))</f>
        <v>0</v>
      </c>
      <c r="F16" s="1" t="n">
        <f aca="false">IF(coding!$I16="",0,IF(ISNUMBER(SEARCH("T2",coding!$I16)),1,0))</f>
        <v>0</v>
      </c>
      <c r="G16" s="1" t="n">
        <f aca="false">IF(coding!$I16="",0,IF(ISNUMBER(SEARCH("T3",coding!$I16)),1,0))</f>
        <v>0</v>
      </c>
      <c r="H16" s="1" t="n">
        <f aca="false">IF(coding!$I16="",0,IF(ISNUMBER(SEARCH("T4",coding!$I16)),1,0))</f>
        <v>0</v>
      </c>
      <c r="I16" s="1" t="n">
        <f aca="false">IF(coding!$I16="",0,IF(ISNUMBER(SEARCH("T5",coding!$I16)),1,0))</f>
        <v>0</v>
      </c>
      <c r="J16" s="1" t="n">
        <f aca="false">IF(coding!$I16="",0,IF(ISNUMBER(SEARCH("T6",coding!$I16)),1,0))</f>
        <v>0</v>
      </c>
      <c r="K16" s="1" t="n">
        <f aca="false">IF(coding!$I16="",0,IF(ISNUMBER(SEARCH("T7",coding!$I16)),1,0))</f>
        <v>0</v>
      </c>
      <c r="L16" s="1" t="n">
        <f aca="false">IF(coding!$I16="",0,IF(ISNUMBER(SEARCH("T8",coding!$I16)),1,0))</f>
        <v>0</v>
      </c>
      <c r="M16" s="1" t="n">
        <f aca="false">IF(coding!$I16="",0,IF(ISNUMBER(SEARCH("T9",coding!$I16)),1,0))</f>
        <v>0</v>
      </c>
      <c r="N16" s="1" t="n">
        <f aca="false">IF(coding!$J16="",0,IF(ISNUMBER(SEARCH("T1",coding!$J16)),1,0))</f>
        <v>0</v>
      </c>
      <c r="O16" s="1" t="n">
        <f aca="false">IF(coding!$J16="",0,IF(ISNUMBER(SEARCH("T2",coding!$J16)),1,0))</f>
        <v>0</v>
      </c>
      <c r="P16" s="1" t="n">
        <f aca="false">IF(coding!$J16="",0,IF(ISNUMBER(SEARCH("T3",coding!$J16)),1,0))</f>
        <v>0</v>
      </c>
      <c r="Q16" s="1" t="n">
        <f aca="false">IF(coding!$J16="",0,IF(ISNUMBER(SEARCH("T4",coding!$J16)),1,0))</f>
        <v>0</v>
      </c>
      <c r="R16" s="1" t="n">
        <f aca="false">IF(coding!$J16="",0,IF(ISNUMBER(SEARCH("T5",coding!$J16)),1,0))</f>
        <v>0</v>
      </c>
      <c r="S16" s="1" t="n">
        <f aca="false">IF(coding!$J16="",0,IF(ISNUMBER(SEARCH("T6",coding!$J16)),1,0))</f>
        <v>0</v>
      </c>
      <c r="T16" s="1" t="n">
        <f aca="false">IF(coding!$J16="",0,IF(ISNUMBER(SEARCH("T7",coding!$J16)),1,0))</f>
        <v>0</v>
      </c>
      <c r="U16" s="1" t="n">
        <f aca="false">IF(coding!$J16="",0,IF(ISNUMBER(SEARCH("T8",coding!$J16)),1,0))</f>
        <v>0</v>
      </c>
      <c r="V16" s="1" t="n">
        <f aca="false">IF(coding!$J16="",0,IF(ISNUMBER(SEARCH("T9",coding!$J16)),1,0))</f>
        <v>0</v>
      </c>
      <c r="W16" s="1" t="n">
        <f aca="false">IF(coding!$O16="",0,IF(ISNUMBER(SEARCH("T1",coding!$O16)),1,0))</f>
        <v>1</v>
      </c>
      <c r="X16" s="1" t="n">
        <f aca="false">IF(coding!$O16="",0,IF(ISNUMBER(SEARCH("T2",coding!$O16)),1,0))</f>
        <v>1</v>
      </c>
      <c r="Y16" s="1" t="n">
        <f aca="false">IF(coding!$O16="",0,IF(ISNUMBER(SEARCH("T3",coding!$O16)),1,0))</f>
        <v>0</v>
      </c>
      <c r="Z16" s="1" t="n">
        <f aca="false">IF(coding!$O16="",0,IF(ISNUMBER(SEARCH("T4",coding!$O16)),1,0))</f>
        <v>1</v>
      </c>
      <c r="AA16" s="1" t="n">
        <f aca="false">IF(coding!$O16="",0,IF(ISNUMBER(SEARCH("T5",coding!$O16)),1,0))</f>
        <v>0</v>
      </c>
      <c r="AB16" s="1" t="n">
        <f aca="false">IF(coding!$O16="",0,IF(ISNUMBER(SEARCH("T6",coding!$O16)),1,0))</f>
        <v>0</v>
      </c>
      <c r="AC16" s="1" t="n">
        <f aca="false">IF(coding!$O16="",0,IF(ISNUMBER(SEARCH("T7",coding!$O16)),1,0))</f>
        <v>0</v>
      </c>
      <c r="AD16" s="1" t="n">
        <f aca="false">IF(coding!$O16="",0,IF(ISNUMBER(SEARCH("T8",coding!$O16)),1,0))</f>
        <v>0</v>
      </c>
      <c r="AE16" s="1" t="n">
        <f aca="false">IF(coding!$O16="",0,IF(ISNUMBER(SEARCH("T9",coding!$O16)),1,0))</f>
        <v>0</v>
      </c>
      <c r="AF16" s="1" t="n">
        <f aca="false">SUMPRODUCT($E16:$M16,$N16:$V16)</f>
        <v>0</v>
      </c>
      <c r="AG16" s="1" t="n">
        <f aca="false">SUMPRODUCT(--(($E16:$M16+$N16:$V16)&gt;0))</f>
        <v>0</v>
      </c>
      <c r="AH16" s="1" t="str">
        <f aca="false">IF(AND($B16=1,$C16=1),IF($AG16=0,1,$AF16/$AG16),"")</f>
        <v/>
      </c>
      <c r="AI16" s="1" t="str">
        <f aca="false">IF(AND($B16=1,$C16=1),IF(coding!$I16=coding!$J16,1,0),"")</f>
        <v/>
      </c>
      <c r="AJ16" s="1" t="str">
        <f aca="false">IF($B16=1,IF(SUMPRODUCT(--(($E16:$M16+$W16:$AE16)&gt;0))=0,1,SUMPRODUCT($E16:$M16,$W16:$AE16)/SUMPRODUCT(--(($E16:$M16+$W16:$AE16)&gt;0))),"")</f>
        <v/>
      </c>
      <c r="AK16" s="1" t="str">
        <f aca="false">IF($C16=1,IF(SUMPRODUCT(--(($N16:$V16+$W16:$AE16)&gt;0))=0,1,SUMPRODUCT($N16:$V16,$W16:$AE16)/SUMPRODUCT(--(($N16:$V16+$W16:$AE16)&gt;0))),"")</f>
        <v/>
      </c>
    </row>
    <row r="17" customFormat="false" ht="15" hidden="false" customHeight="true" outlineLevel="0" collapsed="false">
      <c r="A17" s="1" t="str">
        <f aca="false">coding!$A17</f>
        <v>P016</v>
      </c>
      <c r="B17" s="1" t="n">
        <f aca="false">IF(coding!$I17="",0,1)</f>
        <v>0</v>
      </c>
      <c r="C17" s="1" t="n">
        <f aca="false">IF(coding!$J17="",0,1)</f>
        <v>0</v>
      </c>
      <c r="D17" s="1" t="n">
        <f aca="false">IF(coding!$O17="",0,1)</f>
        <v>1</v>
      </c>
      <c r="E17" s="1" t="n">
        <f aca="false">IF(coding!$I17="",0,IF(ISNUMBER(SEARCH("T1",coding!$I17)),1,0))</f>
        <v>0</v>
      </c>
      <c r="F17" s="1" t="n">
        <f aca="false">IF(coding!$I17="",0,IF(ISNUMBER(SEARCH("T2",coding!$I17)),1,0))</f>
        <v>0</v>
      </c>
      <c r="G17" s="1" t="n">
        <f aca="false">IF(coding!$I17="",0,IF(ISNUMBER(SEARCH("T3",coding!$I17)),1,0))</f>
        <v>0</v>
      </c>
      <c r="H17" s="1" t="n">
        <f aca="false">IF(coding!$I17="",0,IF(ISNUMBER(SEARCH("T4",coding!$I17)),1,0))</f>
        <v>0</v>
      </c>
      <c r="I17" s="1" t="n">
        <f aca="false">IF(coding!$I17="",0,IF(ISNUMBER(SEARCH("T5",coding!$I17)),1,0))</f>
        <v>0</v>
      </c>
      <c r="J17" s="1" t="n">
        <f aca="false">IF(coding!$I17="",0,IF(ISNUMBER(SEARCH("T6",coding!$I17)),1,0))</f>
        <v>0</v>
      </c>
      <c r="K17" s="1" t="n">
        <f aca="false">IF(coding!$I17="",0,IF(ISNUMBER(SEARCH("T7",coding!$I17)),1,0))</f>
        <v>0</v>
      </c>
      <c r="L17" s="1" t="n">
        <f aca="false">IF(coding!$I17="",0,IF(ISNUMBER(SEARCH("T8",coding!$I17)),1,0))</f>
        <v>0</v>
      </c>
      <c r="M17" s="1" t="n">
        <f aca="false">IF(coding!$I17="",0,IF(ISNUMBER(SEARCH("T9",coding!$I17)),1,0))</f>
        <v>0</v>
      </c>
      <c r="N17" s="1" t="n">
        <f aca="false">IF(coding!$J17="",0,IF(ISNUMBER(SEARCH("T1",coding!$J17)),1,0))</f>
        <v>0</v>
      </c>
      <c r="O17" s="1" t="n">
        <f aca="false">IF(coding!$J17="",0,IF(ISNUMBER(SEARCH("T2",coding!$J17)),1,0))</f>
        <v>0</v>
      </c>
      <c r="P17" s="1" t="n">
        <f aca="false">IF(coding!$J17="",0,IF(ISNUMBER(SEARCH("T3",coding!$J17)),1,0))</f>
        <v>0</v>
      </c>
      <c r="Q17" s="1" t="n">
        <f aca="false">IF(coding!$J17="",0,IF(ISNUMBER(SEARCH("T4",coding!$J17)),1,0))</f>
        <v>0</v>
      </c>
      <c r="R17" s="1" t="n">
        <f aca="false">IF(coding!$J17="",0,IF(ISNUMBER(SEARCH("T5",coding!$J17)),1,0))</f>
        <v>0</v>
      </c>
      <c r="S17" s="1" t="n">
        <f aca="false">IF(coding!$J17="",0,IF(ISNUMBER(SEARCH("T6",coding!$J17)),1,0))</f>
        <v>0</v>
      </c>
      <c r="T17" s="1" t="n">
        <f aca="false">IF(coding!$J17="",0,IF(ISNUMBER(SEARCH("T7",coding!$J17)),1,0))</f>
        <v>0</v>
      </c>
      <c r="U17" s="1" t="n">
        <f aca="false">IF(coding!$J17="",0,IF(ISNUMBER(SEARCH("T8",coding!$J17)),1,0))</f>
        <v>0</v>
      </c>
      <c r="V17" s="1" t="n">
        <f aca="false">IF(coding!$J17="",0,IF(ISNUMBER(SEARCH("T9",coding!$J17)),1,0))</f>
        <v>0</v>
      </c>
      <c r="W17" s="1" t="n">
        <f aca="false">IF(coding!$O17="",0,IF(ISNUMBER(SEARCH("T1",coding!$O17)),1,0))</f>
        <v>1</v>
      </c>
      <c r="X17" s="1" t="n">
        <f aca="false">IF(coding!$O17="",0,IF(ISNUMBER(SEARCH("T2",coding!$O17)),1,0))</f>
        <v>0</v>
      </c>
      <c r="Y17" s="1" t="n">
        <f aca="false">IF(coding!$O17="",0,IF(ISNUMBER(SEARCH("T3",coding!$O17)),1,0))</f>
        <v>0</v>
      </c>
      <c r="Z17" s="1" t="n">
        <f aca="false">IF(coding!$O17="",0,IF(ISNUMBER(SEARCH("T4",coding!$O17)),1,0))</f>
        <v>0</v>
      </c>
      <c r="AA17" s="1" t="n">
        <f aca="false">IF(coding!$O17="",0,IF(ISNUMBER(SEARCH("T5",coding!$O17)),1,0))</f>
        <v>0</v>
      </c>
      <c r="AB17" s="1" t="n">
        <f aca="false">IF(coding!$O17="",0,IF(ISNUMBER(SEARCH("T6",coding!$O17)),1,0))</f>
        <v>0</v>
      </c>
      <c r="AC17" s="1" t="n">
        <f aca="false">IF(coding!$O17="",0,IF(ISNUMBER(SEARCH("T7",coding!$O17)),1,0))</f>
        <v>0</v>
      </c>
      <c r="AD17" s="1" t="n">
        <f aca="false">IF(coding!$O17="",0,IF(ISNUMBER(SEARCH("T8",coding!$O17)),1,0))</f>
        <v>1</v>
      </c>
      <c r="AE17" s="1" t="n">
        <f aca="false">IF(coding!$O17="",0,IF(ISNUMBER(SEARCH("T9",coding!$O17)),1,0))</f>
        <v>0</v>
      </c>
      <c r="AF17" s="1" t="n">
        <f aca="false">SUMPRODUCT($E17:$M17,$N17:$V17)</f>
        <v>0</v>
      </c>
      <c r="AG17" s="1" t="n">
        <f aca="false">SUMPRODUCT(--(($E17:$M17+$N17:$V17)&gt;0))</f>
        <v>0</v>
      </c>
      <c r="AH17" s="1" t="str">
        <f aca="false">IF(AND($B17=1,$C17=1),IF($AG17=0,1,$AF17/$AG17),"")</f>
        <v/>
      </c>
      <c r="AI17" s="1" t="str">
        <f aca="false">IF(AND($B17=1,$C17=1),IF(coding!$I17=coding!$J17,1,0),"")</f>
        <v/>
      </c>
      <c r="AJ17" s="1" t="str">
        <f aca="false">IF($B17=1,IF(SUMPRODUCT(--(($E17:$M17+$W17:$AE17)&gt;0))=0,1,SUMPRODUCT($E17:$M17,$W17:$AE17)/SUMPRODUCT(--(($E17:$M17+$W17:$AE17)&gt;0))),"")</f>
        <v/>
      </c>
      <c r="AK17" s="1" t="str">
        <f aca="false">IF($C17=1,IF(SUMPRODUCT(--(($N17:$V17+$W17:$AE17)&gt;0))=0,1,SUMPRODUCT($N17:$V17,$W17:$AE17)/SUMPRODUCT(--(($N17:$V17+$W17:$AE17)&gt;0))),"")</f>
        <v/>
      </c>
    </row>
    <row r="18" customFormat="false" ht="15" hidden="false" customHeight="true" outlineLevel="0" collapsed="false">
      <c r="A18" s="1" t="str">
        <f aca="false">coding!$A18</f>
        <v>P017</v>
      </c>
      <c r="B18" s="1" t="n">
        <f aca="false">IF(coding!$I18="",0,1)</f>
        <v>0</v>
      </c>
      <c r="C18" s="1" t="n">
        <f aca="false">IF(coding!$J18="",0,1)</f>
        <v>0</v>
      </c>
      <c r="D18" s="1" t="n">
        <f aca="false">IF(coding!$O18="",0,1)</f>
        <v>1</v>
      </c>
      <c r="E18" s="1" t="n">
        <f aca="false">IF(coding!$I18="",0,IF(ISNUMBER(SEARCH("T1",coding!$I18)),1,0))</f>
        <v>0</v>
      </c>
      <c r="F18" s="1" t="n">
        <f aca="false">IF(coding!$I18="",0,IF(ISNUMBER(SEARCH("T2",coding!$I18)),1,0))</f>
        <v>0</v>
      </c>
      <c r="G18" s="1" t="n">
        <f aca="false">IF(coding!$I18="",0,IF(ISNUMBER(SEARCH("T3",coding!$I18)),1,0))</f>
        <v>0</v>
      </c>
      <c r="H18" s="1" t="n">
        <f aca="false">IF(coding!$I18="",0,IF(ISNUMBER(SEARCH("T4",coding!$I18)),1,0))</f>
        <v>0</v>
      </c>
      <c r="I18" s="1" t="n">
        <f aca="false">IF(coding!$I18="",0,IF(ISNUMBER(SEARCH("T5",coding!$I18)),1,0))</f>
        <v>0</v>
      </c>
      <c r="J18" s="1" t="n">
        <f aca="false">IF(coding!$I18="",0,IF(ISNUMBER(SEARCH("T6",coding!$I18)),1,0))</f>
        <v>0</v>
      </c>
      <c r="K18" s="1" t="n">
        <f aca="false">IF(coding!$I18="",0,IF(ISNUMBER(SEARCH("T7",coding!$I18)),1,0))</f>
        <v>0</v>
      </c>
      <c r="L18" s="1" t="n">
        <f aca="false">IF(coding!$I18="",0,IF(ISNUMBER(SEARCH("T8",coding!$I18)),1,0))</f>
        <v>0</v>
      </c>
      <c r="M18" s="1" t="n">
        <f aca="false">IF(coding!$I18="",0,IF(ISNUMBER(SEARCH("T9",coding!$I18)),1,0))</f>
        <v>0</v>
      </c>
      <c r="N18" s="1" t="n">
        <f aca="false">IF(coding!$J18="",0,IF(ISNUMBER(SEARCH("T1",coding!$J18)),1,0))</f>
        <v>0</v>
      </c>
      <c r="O18" s="1" t="n">
        <f aca="false">IF(coding!$J18="",0,IF(ISNUMBER(SEARCH("T2",coding!$J18)),1,0))</f>
        <v>0</v>
      </c>
      <c r="P18" s="1" t="n">
        <f aca="false">IF(coding!$J18="",0,IF(ISNUMBER(SEARCH("T3",coding!$J18)),1,0))</f>
        <v>0</v>
      </c>
      <c r="Q18" s="1" t="n">
        <f aca="false">IF(coding!$J18="",0,IF(ISNUMBER(SEARCH("T4",coding!$J18)),1,0))</f>
        <v>0</v>
      </c>
      <c r="R18" s="1" t="n">
        <f aca="false">IF(coding!$J18="",0,IF(ISNUMBER(SEARCH("T5",coding!$J18)),1,0))</f>
        <v>0</v>
      </c>
      <c r="S18" s="1" t="n">
        <f aca="false">IF(coding!$J18="",0,IF(ISNUMBER(SEARCH("T6",coding!$J18)),1,0))</f>
        <v>0</v>
      </c>
      <c r="T18" s="1" t="n">
        <f aca="false">IF(coding!$J18="",0,IF(ISNUMBER(SEARCH("T7",coding!$J18)),1,0))</f>
        <v>0</v>
      </c>
      <c r="U18" s="1" t="n">
        <f aca="false">IF(coding!$J18="",0,IF(ISNUMBER(SEARCH("T8",coding!$J18)),1,0))</f>
        <v>0</v>
      </c>
      <c r="V18" s="1" t="n">
        <f aca="false">IF(coding!$J18="",0,IF(ISNUMBER(SEARCH("T9",coding!$J18)),1,0))</f>
        <v>0</v>
      </c>
      <c r="W18" s="1" t="n">
        <f aca="false">IF(coding!$O18="",0,IF(ISNUMBER(SEARCH("T1",coding!$O18)),1,0))</f>
        <v>0</v>
      </c>
      <c r="X18" s="1" t="n">
        <f aca="false">IF(coding!$O18="",0,IF(ISNUMBER(SEARCH("T2",coding!$O18)),1,0))</f>
        <v>1</v>
      </c>
      <c r="Y18" s="1" t="n">
        <f aca="false">IF(coding!$O18="",0,IF(ISNUMBER(SEARCH("T3",coding!$O18)),1,0))</f>
        <v>0</v>
      </c>
      <c r="Z18" s="1" t="n">
        <f aca="false">IF(coding!$O18="",0,IF(ISNUMBER(SEARCH("T4",coding!$O18)),1,0))</f>
        <v>0</v>
      </c>
      <c r="AA18" s="1" t="n">
        <f aca="false">IF(coding!$O18="",0,IF(ISNUMBER(SEARCH("T5",coding!$O18)),1,0))</f>
        <v>0</v>
      </c>
      <c r="AB18" s="1" t="n">
        <f aca="false">IF(coding!$O18="",0,IF(ISNUMBER(SEARCH("T6",coding!$O18)),1,0))</f>
        <v>0</v>
      </c>
      <c r="AC18" s="1" t="n">
        <f aca="false">IF(coding!$O18="",0,IF(ISNUMBER(SEARCH("T7",coding!$O18)),1,0))</f>
        <v>0</v>
      </c>
      <c r="AD18" s="1" t="n">
        <f aca="false">IF(coding!$O18="",0,IF(ISNUMBER(SEARCH("T8",coding!$O18)),1,0))</f>
        <v>1</v>
      </c>
      <c r="AE18" s="1" t="n">
        <f aca="false">IF(coding!$O18="",0,IF(ISNUMBER(SEARCH("T9",coding!$O18)),1,0))</f>
        <v>0</v>
      </c>
      <c r="AF18" s="1" t="n">
        <f aca="false">SUMPRODUCT($E18:$M18,$N18:$V18)</f>
        <v>0</v>
      </c>
      <c r="AG18" s="1" t="n">
        <f aca="false">SUMPRODUCT(--(($E18:$M18+$N18:$V18)&gt;0))</f>
        <v>0</v>
      </c>
      <c r="AH18" s="1" t="str">
        <f aca="false">IF(AND($B18=1,$C18=1),IF($AG18=0,1,$AF18/$AG18),"")</f>
        <v/>
      </c>
      <c r="AI18" s="1" t="str">
        <f aca="false">IF(AND($B18=1,$C18=1),IF(coding!$I18=coding!$J18,1,0),"")</f>
        <v/>
      </c>
      <c r="AJ18" s="1" t="str">
        <f aca="false">IF($B18=1,IF(SUMPRODUCT(--(($E18:$M18+$W18:$AE18)&gt;0))=0,1,SUMPRODUCT($E18:$M18,$W18:$AE18)/SUMPRODUCT(--(($E18:$M18+$W18:$AE18)&gt;0))),"")</f>
        <v/>
      </c>
      <c r="AK18" s="1" t="str">
        <f aca="false">IF($C18=1,IF(SUMPRODUCT(--(($N18:$V18+$W18:$AE18)&gt;0))=0,1,SUMPRODUCT($N18:$V18,$W18:$AE18)/SUMPRODUCT(--(($N18:$V18+$W18:$AE18)&gt;0))),"")</f>
        <v/>
      </c>
    </row>
    <row r="19" customFormat="false" ht="15" hidden="false" customHeight="true" outlineLevel="0" collapsed="false">
      <c r="A19" s="1" t="str">
        <f aca="false">coding!$A19</f>
        <v>P018</v>
      </c>
      <c r="B19" s="1" t="n">
        <f aca="false">IF(coding!$I19="",0,1)</f>
        <v>0</v>
      </c>
      <c r="C19" s="1" t="n">
        <f aca="false">IF(coding!$J19="",0,1)</f>
        <v>0</v>
      </c>
      <c r="D19" s="1" t="n">
        <f aca="false">IF(coding!$O19="",0,1)</f>
        <v>1</v>
      </c>
      <c r="E19" s="1" t="n">
        <f aca="false">IF(coding!$I19="",0,IF(ISNUMBER(SEARCH("T1",coding!$I19)),1,0))</f>
        <v>0</v>
      </c>
      <c r="F19" s="1" t="n">
        <f aca="false">IF(coding!$I19="",0,IF(ISNUMBER(SEARCH("T2",coding!$I19)),1,0))</f>
        <v>0</v>
      </c>
      <c r="G19" s="1" t="n">
        <f aca="false">IF(coding!$I19="",0,IF(ISNUMBER(SEARCH("T3",coding!$I19)),1,0))</f>
        <v>0</v>
      </c>
      <c r="H19" s="1" t="n">
        <f aca="false">IF(coding!$I19="",0,IF(ISNUMBER(SEARCH("T4",coding!$I19)),1,0))</f>
        <v>0</v>
      </c>
      <c r="I19" s="1" t="n">
        <f aca="false">IF(coding!$I19="",0,IF(ISNUMBER(SEARCH("T5",coding!$I19)),1,0))</f>
        <v>0</v>
      </c>
      <c r="J19" s="1" t="n">
        <f aca="false">IF(coding!$I19="",0,IF(ISNUMBER(SEARCH("T6",coding!$I19)),1,0))</f>
        <v>0</v>
      </c>
      <c r="K19" s="1" t="n">
        <f aca="false">IF(coding!$I19="",0,IF(ISNUMBER(SEARCH("T7",coding!$I19)),1,0))</f>
        <v>0</v>
      </c>
      <c r="L19" s="1" t="n">
        <f aca="false">IF(coding!$I19="",0,IF(ISNUMBER(SEARCH("T8",coding!$I19)),1,0))</f>
        <v>0</v>
      </c>
      <c r="M19" s="1" t="n">
        <f aca="false">IF(coding!$I19="",0,IF(ISNUMBER(SEARCH("T9",coding!$I19)),1,0))</f>
        <v>0</v>
      </c>
      <c r="N19" s="1" t="n">
        <f aca="false">IF(coding!$J19="",0,IF(ISNUMBER(SEARCH("T1",coding!$J19)),1,0))</f>
        <v>0</v>
      </c>
      <c r="O19" s="1" t="n">
        <f aca="false">IF(coding!$J19="",0,IF(ISNUMBER(SEARCH("T2",coding!$J19)),1,0))</f>
        <v>0</v>
      </c>
      <c r="P19" s="1" t="n">
        <f aca="false">IF(coding!$J19="",0,IF(ISNUMBER(SEARCH("T3",coding!$J19)),1,0))</f>
        <v>0</v>
      </c>
      <c r="Q19" s="1" t="n">
        <f aca="false">IF(coding!$J19="",0,IF(ISNUMBER(SEARCH("T4",coding!$J19)),1,0))</f>
        <v>0</v>
      </c>
      <c r="R19" s="1" t="n">
        <f aca="false">IF(coding!$J19="",0,IF(ISNUMBER(SEARCH("T5",coding!$J19)),1,0))</f>
        <v>0</v>
      </c>
      <c r="S19" s="1" t="n">
        <f aca="false">IF(coding!$J19="",0,IF(ISNUMBER(SEARCH("T6",coding!$J19)),1,0))</f>
        <v>0</v>
      </c>
      <c r="T19" s="1" t="n">
        <f aca="false">IF(coding!$J19="",0,IF(ISNUMBER(SEARCH("T7",coding!$J19)),1,0))</f>
        <v>0</v>
      </c>
      <c r="U19" s="1" t="n">
        <f aca="false">IF(coding!$J19="",0,IF(ISNUMBER(SEARCH("T8",coding!$J19)),1,0))</f>
        <v>0</v>
      </c>
      <c r="V19" s="1" t="n">
        <f aca="false">IF(coding!$J19="",0,IF(ISNUMBER(SEARCH("T9",coding!$J19)),1,0))</f>
        <v>0</v>
      </c>
      <c r="W19" s="1" t="n">
        <f aca="false">IF(coding!$O19="",0,IF(ISNUMBER(SEARCH("T1",coding!$O19)),1,0))</f>
        <v>1</v>
      </c>
      <c r="X19" s="1" t="n">
        <f aca="false">IF(coding!$O19="",0,IF(ISNUMBER(SEARCH("T2",coding!$O19)),1,0))</f>
        <v>0</v>
      </c>
      <c r="Y19" s="1" t="n">
        <f aca="false">IF(coding!$O19="",0,IF(ISNUMBER(SEARCH("T3",coding!$O19)),1,0))</f>
        <v>0</v>
      </c>
      <c r="Z19" s="1" t="n">
        <f aca="false">IF(coding!$O19="",0,IF(ISNUMBER(SEARCH("T4",coding!$O19)),1,0))</f>
        <v>1</v>
      </c>
      <c r="AA19" s="1" t="n">
        <f aca="false">IF(coding!$O19="",0,IF(ISNUMBER(SEARCH("T5",coding!$O19)),1,0))</f>
        <v>0</v>
      </c>
      <c r="AB19" s="1" t="n">
        <f aca="false">IF(coding!$O19="",0,IF(ISNUMBER(SEARCH("T6",coding!$O19)),1,0))</f>
        <v>0</v>
      </c>
      <c r="AC19" s="1" t="n">
        <f aca="false">IF(coding!$O19="",0,IF(ISNUMBER(SEARCH("T7",coding!$O19)),1,0))</f>
        <v>0</v>
      </c>
      <c r="AD19" s="1" t="n">
        <f aca="false">IF(coding!$O19="",0,IF(ISNUMBER(SEARCH("T8",coding!$O19)),1,0))</f>
        <v>0</v>
      </c>
      <c r="AE19" s="1" t="n">
        <f aca="false">IF(coding!$O19="",0,IF(ISNUMBER(SEARCH("T9",coding!$O19)),1,0))</f>
        <v>0</v>
      </c>
      <c r="AF19" s="1" t="n">
        <f aca="false">SUMPRODUCT($E19:$M19,$N19:$V19)</f>
        <v>0</v>
      </c>
      <c r="AG19" s="1" t="n">
        <f aca="false">SUMPRODUCT(--(($E19:$M19+$N19:$V19)&gt;0))</f>
        <v>0</v>
      </c>
      <c r="AH19" s="1" t="str">
        <f aca="false">IF(AND($B19=1,$C19=1),IF($AG19=0,1,$AF19/$AG19),"")</f>
        <v/>
      </c>
      <c r="AI19" s="1" t="str">
        <f aca="false">IF(AND($B19=1,$C19=1),IF(coding!$I19=coding!$J19,1,0),"")</f>
        <v/>
      </c>
      <c r="AJ19" s="1" t="str">
        <f aca="false">IF($B19=1,IF(SUMPRODUCT(--(($E19:$M19+$W19:$AE19)&gt;0))=0,1,SUMPRODUCT($E19:$M19,$W19:$AE19)/SUMPRODUCT(--(($E19:$M19+$W19:$AE19)&gt;0))),"")</f>
        <v/>
      </c>
      <c r="AK19" s="1" t="str">
        <f aca="false">IF($C19=1,IF(SUMPRODUCT(--(($N19:$V19+$W19:$AE19)&gt;0))=0,1,SUMPRODUCT($N19:$V19,$W19:$AE19)/SUMPRODUCT(--(($N19:$V19+$W19:$AE19)&gt;0))),"")</f>
        <v/>
      </c>
    </row>
    <row r="20" customFormat="false" ht="15" hidden="false" customHeight="true" outlineLevel="0" collapsed="false">
      <c r="A20" s="1" t="str">
        <f aca="false">coding!$A20</f>
        <v>P019</v>
      </c>
      <c r="B20" s="1" t="n">
        <f aca="false">IF(coding!$I20="",0,1)</f>
        <v>0</v>
      </c>
      <c r="C20" s="1" t="n">
        <f aca="false">IF(coding!$J20="",0,1)</f>
        <v>0</v>
      </c>
      <c r="D20" s="1" t="n">
        <f aca="false">IF(coding!$O20="",0,1)</f>
        <v>1</v>
      </c>
      <c r="E20" s="1" t="n">
        <f aca="false">IF(coding!$I20="",0,IF(ISNUMBER(SEARCH("T1",coding!$I20)),1,0))</f>
        <v>0</v>
      </c>
      <c r="F20" s="1" t="n">
        <f aca="false">IF(coding!$I20="",0,IF(ISNUMBER(SEARCH("T2",coding!$I20)),1,0))</f>
        <v>0</v>
      </c>
      <c r="G20" s="1" t="n">
        <f aca="false">IF(coding!$I20="",0,IF(ISNUMBER(SEARCH("T3",coding!$I20)),1,0))</f>
        <v>0</v>
      </c>
      <c r="H20" s="1" t="n">
        <f aca="false">IF(coding!$I20="",0,IF(ISNUMBER(SEARCH("T4",coding!$I20)),1,0))</f>
        <v>0</v>
      </c>
      <c r="I20" s="1" t="n">
        <f aca="false">IF(coding!$I20="",0,IF(ISNUMBER(SEARCH("T5",coding!$I20)),1,0))</f>
        <v>0</v>
      </c>
      <c r="J20" s="1" t="n">
        <f aca="false">IF(coding!$I20="",0,IF(ISNUMBER(SEARCH("T6",coding!$I20)),1,0))</f>
        <v>0</v>
      </c>
      <c r="K20" s="1" t="n">
        <f aca="false">IF(coding!$I20="",0,IF(ISNUMBER(SEARCH("T7",coding!$I20)),1,0))</f>
        <v>0</v>
      </c>
      <c r="L20" s="1" t="n">
        <f aca="false">IF(coding!$I20="",0,IF(ISNUMBER(SEARCH("T8",coding!$I20)),1,0))</f>
        <v>0</v>
      </c>
      <c r="M20" s="1" t="n">
        <f aca="false">IF(coding!$I20="",0,IF(ISNUMBER(SEARCH("T9",coding!$I20)),1,0))</f>
        <v>0</v>
      </c>
      <c r="N20" s="1" t="n">
        <f aca="false">IF(coding!$J20="",0,IF(ISNUMBER(SEARCH("T1",coding!$J20)),1,0))</f>
        <v>0</v>
      </c>
      <c r="O20" s="1" t="n">
        <f aca="false">IF(coding!$J20="",0,IF(ISNUMBER(SEARCH("T2",coding!$J20)),1,0))</f>
        <v>0</v>
      </c>
      <c r="P20" s="1" t="n">
        <f aca="false">IF(coding!$J20="",0,IF(ISNUMBER(SEARCH("T3",coding!$J20)),1,0))</f>
        <v>0</v>
      </c>
      <c r="Q20" s="1" t="n">
        <f aca="false">IF(coding!$J20="",0,IF(ISNUMBER(SEARCH("T4",coding!$J20)),1,0))</f>
        <v>0</v>
      </c>
      <c r="R20" s="1" t="n">
        <f aca="false">IF(coding!$J20="",0,IF(ISNUMBER(SEARCH("T5",coding!$J20)),1,0))</f>
        <v>0</v>
      </c>
      <c r="S20" s="1" t="n">
        <f aca="false">IF(coding!$J20="",0,IF(ISNUMBER(SEARCH("T6",coding!$J20)),1,0))</f>
        <v>0</v>
      </c>
      <c r="T20" s="1" t="n">
        <f aca="false">IF(coding!$J20="",0,IF(ISNUMBER(SEARCH("T7",coding!$J20)),1,0))</f>
        <v>0</v>
      </c>
      <c r="U20" s="1" t="n">
        <f aca="false">IF(coding!$J20="",0,IF(ISNUMBER(SEARCH("T8",coding!$J20)),1,0))</f>
        <v>0</v>
      </c>
      <c r="V20" s="1" t="n">
        <f aca="false">IF(coding!$J20="",0,IF(ISNUMBER(SEARCH("T9",coding!$J20)),1,0))</f>
        <v>0</v>
      </c>
      <c r="W20" s="1" t="n">
        <f aca="false">IF(coding!$O20="",0,IF(ISNUMBER(SEARCH("T1",coding!$O20)),1,0))</f>
        <v>1</v>
      </c>
      <c r="X20" s="1" t="n">
        <f aca="false">IF(coding!$O20="",0,IF(ISNUMBER(SEARCH("T2",coding!$O20)),1,0))</f>
        <v>0</v>
      </c>
      <c r="Y20" s="1" t="n">
        <f aca="false">IF(coding!$O20="",0,IF(ISNUMBER(SEARCH("T3",coding!$O20)),1,0))</f>
        <v>0</v>
      </c>
      <c r="Z20" s="1" t="n">
        <f aca="false">IF(coding!$O20="",0,IF(ISNUMBER(SEARCH("T4",coding!$O20)),1,0))</f>
        <v>0</v>
      </c>
      <c r="AA20" s="1" t="n">
        <f aca="false">IF(coding!$O20="",0,IF(ISNUMBER(SEARCH("T5",coding!$O20)),1,0))</f>
        <v>0</v>
      </c>
      <c r="AB20" s="1" t="n">
        <f aca="false">IF(coding!$O20="",0,IF(ISNUMBER(SEARCH("T6",coding!$O20)),1,0))</f>
        <v>0</v>
      </c>
      <c r="AC20" s="1" t="n">
        <f aca="false">IF(coding!$O20="",0,IF(ISNUMBER(SEARCH("T7",coding!$O20)),1,0))</f>
        <v>0</v>
      </c>
      <c r="AD20" s="1" t="n">
        <f aca="false">IF(coding!$O20="",0,IF(ISNUMBER(SEARCH("T8",coding!$O20)),1,0))</f>
        <v>0</v>
      </c>
      <c r="AE20" s="1" t="n">
        <f aca="false">IF(coding!$O20="",0,IF(ISNUMBER(SEARCH("T9",coding!$O20)),1,0))</f>
        <v>0</v>
      </c>
      <c r="AF20" s="1" t="n">
        <f aca="false">SUMPRODUCT($E20:$M20,$N20:$V20)</f>
        <v>0</v>
      </c>
      <c r="AG20" s="1" t="n">
        <f aca="false">SUMPRODUCT(--(($E20:$M20+$N20:$V20)&gt;0))</f>
        <v>0</v>
      </c>
      <c r="AH20" s="1" t="str">
        <f aca="false">IF(AND($B20=1,$C20=1),IF($AG20=0,1,$AF20/$AG20),"")</f>
        <v/>
      </c>
      <c r="AI20" s="1" t="str">
        <f aca="false">IF(AND($B20=1,$C20=1),IF(coding!$I20=coding!$J20,1,0),"")</f>
        <v/>
      </c>
      <c r="AJ20" s="1" t="str">
        <f aca="false">IF($B20=1,IF(SUMPRODUCT(--(($E20:$M20+$W20:$AE20)&gt;0))=0,1,SUMPRODUCT($E20:$M20,$W20:$AE20)/SUMPRODUCT(--(($E20:$M20+$W20:$AE20)&gt;0))),"")</f>
        <v/>
      </c>
      <c r="AK20" s="1" t="str">
        <f aca="false">IF($C20=1,IF(SUMPRODUCT(--(($N20:$V20+$W20:$AE20)&gt;0))=0,1,SUMPRODUCT($N20:$V20,$W20:$AE20)/SUMPRODUCT(--(($N20:$V20+$W20:$AE20)&gt;0))),"")</f>
        <v/>
      </c>
    </row>
    <row r="21" customFormat="false" ht="15" hidden="false" customHeight="true" outlineLevel="0" collapsed="false">
      <c r="A21" s="1" t="str">
        <f aca="false">coding!$A21</f>
        <v>P020</v>
      </c>
      <c r="B21" s="1" t="n">
        <f aca="false">IF(coding!$I21="",0,1)</f>
        <v>0</v>
      </c>
      <c r="C21" s="1" t="n">
        <f aca="false">IF(coding!$J21="",0,1)</f>
        <v>0</v>
      </c>
      <c r="D21" s="1" t="n">
        <f aca="false">IF(coding!$O21="",0,1)</f>
        <v>1</v>
      </c>
      <c r="E21" s="1" t="n">
        <f aca="false">IF(coding!$I21="",0,IF(ISNUMBER(SEARCH("T1",coding!$I21)),1,0))</f>
        <v>0</v>
      </c>
      <c r="F21" s="1" t="n">
        <f aca="false">IF(coding!$I21="",0,IF(ISNUMBER(SEARCH("T2",coding!$I21)),1,0))</f>
        <v>0</v>
      </c>
      <c r="G21" s="1" t="n">
        <f aca="false">IF(coding!$I21="",0,IF(ISNUMBER(SEARCH("T3",coding!$I21)),1,0))</f>
        <v>0</v>
      </c>
      <c r="H21" s="1" t="n">
        <f aca="false">IF(coding!$I21="",0,IF(ISNUMBER(SEARCH("T4",coding!$I21)),1,0))</f>
        <v>0</v>
      </c>
      <c r="I21" s="1" t="n">
        <f aca="false">IF(coding!$I21="",0,IF(ISNUMBER(SEARCH("T5",coding!$I21)),1,0))</f>
        <v>0</v>
      </c>
      <c r="J21" s="1" t="n">
        <f aca="false">IF(coding!$I21="",0,IF(ISNUMBER(SEARCH("T6",coding!$I21)),1,0))</f>
        <v>0</v>
      </c>
      <c r="K21" s="1" t="n">
        <f aca="false">IF(coding!$I21="",0,IF(ISNUMBER(SEARCH("T7",coding!$I21)),1,0))</f>
        <v>0</v>
      </c>
      <c r="L21" s="1" t="n">
        <f aca="false">IF(coding!$I21="",0,IF(ISNUMBER(SEARCH("T8",coding!$I21)),1,0))</f>
        <v>0</v>
      </c>
      <c r="M21" s="1" t="n">
        <f aca="false">IF(coding!$I21="",0,IF(ISNUMBER(SEARCH("T9",coding!$I21)),1,0))</f>
        <v>0</v>
      </c>
      <c r="N21" s="1" t="n">
        <f aca="false">IF(coding!$J21="",0,IF(ISNUMBER(SEARCH("T1",coding!$J21)),1,0))</f>
        <v>0</v>
      </c>
      <c r="O21" s="1" t="n">
        <f aca="false">IF(coding!$J21="",0,IF(ISNUMBER(SEARCH("T2",coding!$J21)),1,0))</f>
        <v>0</v>
      </c>
      <c r="P21" s="1" t="n">
        <f aca="false">IF(coding!$J21="",0,IF(ISNUMBER(SEARCH("T3",coding!$J21)),1,0))</f>
        <v>0</v>
      </c>
      <c r="Q21" s="1" t="n">
        <f aca="false">IF(coding!$J21="",0,IF(ISNUMBER(SEARCH("T4",coding!$J21)),1,0))</f>
        <v>0</v>
      </c>
      <c r="R21" s="1" t="n">
        <f aca="false">IF(coding!$J21="",0,IF(ISNUMBER(SEARCH("T5",coding!$J21)),1,0))</f>
        <v>0</v>
      </c>
      <c r="S21" s="1" t="n">
        <f aca="false">IF(coding!$J21="",0,IF(ISNUMBER(SEARCH("T6",coding!$J21)),1,0))</f>
        <v>0</v>
      </c>
      <c r="T21" s="1" t="n">
        <f aca="false">IF(coding!$J21="",0,IF(ISNUMBER(SEARCH("T7",coding!$J21)),1,0))</f>
        <v>0</v>
      </c>
      <c r="U21" s="1" t="n">
        <f aca="false">IF(coding!$J21="",0,IF(ISNUMBER(SEARCH("T8",coding!$J21)),1,0))</f>
        <v>0</v>
      </c>
      <c r="V21" s="1" t="n">
        <f aca="false">IF(coding!$J21="",0,IF(ISNUMBER(SEARCH("T9",coding!$J21)),1,0))</f>
        <v>0</v>
      </c>
      <c r="W21" s="1" t="n">
        <f aca="false">IF(coding!$O21="",0,IF(ISNUMBER(SEARCH("T1",coding!$O21)),1,0))</f>
        <v>1</v>
      </c>
      <c r="X21" s="1" t="n">
        <f aca="false">IF(coding!$O21="",0,IF(ISNUMBER(SEARCH("T2",coding!$O21)),1,0))</f>
        <v>1</v>
      </c>
      <c r="Y21" s="1" t="n">
        <f aca="false">IF(coding!$O21="",0,IF(ISNUMBER(SEARCH("T3",coding!$O21)),1,0))</f>
        <v>0</v>
      </c>
      <c r="Z21" s="1" t="n">
        <f aca="false">IF(coding!$O21="",0,IF(ISNUMBER(SEARCH("T4",coding!$O21)),1,0))</f>
        <v>0</v>
      </c>
      <c r="AA21" s="1" t="n">
        <f aca="false">IF(coding!$O21="",0,IF(ISNUMBER(SEARCH("T5",coding!$O21)),1,0))</f>
        <v>0</v>
      </c>
      <c r="AB21" s="1" t="n">
        <f aca="false">IF(coding!$O21="",0,IF(ISNUMBER(SEARCH("T6",coding!$O21)),1,0))</f>
        <v>0</v>
      </c>
      <c r="AC21" s="1" t="n">
        <f aca="false">IF(coding!$O21="",0,IF(ISNUMBER(SEARCH("T7",coding!$O21)),1,0))</f>
        <v>0</v>
      </c>
      <c r="AD21" s="1" t="n">
        <f aca="false">IF(coding!$O21="",0,IF(ISNUMBER(SEARCH("T8",coding!$O21)),1,0))</f>
        <v>0</v>
      </c>
      <c r="AE21" s="1" t="n">
        <f aca="false">IF(coding!$O21="",0,IF(ISNUMBER(SEARCH("T9",coding!$O21)),1,0))</f>
        <v>0</v>
      </c>
      <c r="AF21" s="1" t="n">
        <f aca="false">SUMPRODUCT($E21:$M21,$N21:$V21)</f>
        <v>0</v>
      </c>
      <c r="AG21" s="1" t="n">
        <f aca="false">SUMPRODUCT(--(($E21:$M21+$N21:$V21)&gt;0))</f>
        <v>0</v>
      </c>
      <c r="AH21" s="1" t="str">
        <f aca="false">IF(AND($B21=1,$C21=1),IF($AG21=0,1,$AF21/$AG21),"")</f>
        <v/>
      </c>
      <c r="AI21" s="1" t="str">
        <f aca="false">IF(AND($B21=1,$C21=1),IF(coding!$I21=coding!$J21,1,0),"")</f>
        <v/>
      </c>
      <c r="AJ21" s="1" t="str">
        <f aca="false">IF($B21=1,IF(SUMPRODUCT(--(($E21:$M21+$W21:$AE21)&gt;0))=0,1,SUMPRODUCT($E21:$M21,$W21:$AE21)/SUMPRODUCT(--(($E21:$M21+$W21:$AE21)&gt;0))),"")</f>
        <v/>
      </c>
      <c r="AK21" s="1" t="str">
        <f aca="false">IF($C21=1,IF(SUMPRODUCT(--(($N21:$V21+$W21:$AE21)&gt;0))=0,1,SUMPRODUCT($N21:$V21,$W21:$AE21)/SUMPRODUCT(--(($N21:$V21+$W21:$AE21)&gt;0))),"")</f>
        <v/>
      </c>
    </row>
    <row r="22" customFormat="false" ht="15" hidden="false" customHeight="true" outlineLevel="0" collapsed="false">
      <c r="A22" s="1" t="str">
        <f aca="false">coding!$A22</f>
        <v>P021</v>
      </c>
      <c r="B22" s="1" t="n">
        <f aca="false">IF(coding!$I22="",0,1)</f>
        <v>0</v>
      </c>
      <c r="C22" s="1" t="n">
        <f aca="false">IF(coding!$J22="",0,1)</f>
        <v>0</v>
      </c>
      <c r="D22" s="1" t="n">
        <f aca="false">IF(coding!$O22="",0,1)</f>
        <v>1</v>
      </c>
      <c r="E22" s="1" t="n">
        <f aca="false">IF(coding!$I22="",0,IF(ISNUMBER(SEARCH("T1",coding!$I22)),1,0))</f>
        <v>0</v>
      </c>
      <c r="F22" s="1" t="n">
        <f aca="false">IF(coding!$I22="",0,IF(ISNUMBER(SEARCH("T2",coding!$I22)),1,0))</f>
        <v>0</v>
      </c>
      <c r="G22" s="1" t="n">
        <f aca="false">IF(coding!$I22="",0,IF(ISNUMBER(SEARCH("T3",coding!$I22)),1,0))</f>
        <v>0</v>
      </c>
      <c r="H22" s="1" t="n">
        <f aca="false">IF(coding!$I22="",0,IF(ISNUMBER(SEARCH("T4",coding!$I22)),1,0))</f>
        <v>0</v>
      </c>
      <c r="I22" s="1" t="n">
        <f aca="false">IF(coding!$I22="",0,IF(ISNUMBER(SEARCH("T5",coding!$I22)),1,0))</f>
        <v>0</v>
      </c>
      <c r="J22" s="1" t="n">
        <f aca="false">IF(coding!$I22="",0,IF(ISNUMBER(SEARCH("T6",coding!$I22)),1,0))</f>
        <v>0</v>
      </c>
      <c r="K22" s="1" t="n">
        <f aca="false">IF(coding!$I22="",0,IF(ISNUMBER(SEARCH("T7",coding!$I22)),1,0))</f>
        <v>0</v>
      </c>
      <c r="L22" s="1" t="n">
        <f aca="false">IF(coding!$I22="",0,IF(ISNUMBER(SEARCH("T8",coding!$I22)),1,0))</f>
        <v>0</v>
      </c>
      <c r="M22" s="1" t="n">
        <f aca="false">IF(coding!$I22="",0,IF(ISNUMBER(SEARCH("T9",coding!$I22)),1,0))</f>
        <v>0</v>
      </c>
      <c r="N22" s="1" t="n">
        <f aca="false">IF(coding!$J22="",0,IF(ISNUMBER(SEARCH("T1",coding!$J22)),1,0))</f>
        <v>0</v>
      </c>
      <c r="O22" s="1" t="n">
        <f aca="false">IF(coding!$J22="",0,IF(ISNUMBER(SEARCH("T2",coding!$J22)),1,0))</f>
        <v>0</v>
      </c>
      <c r="P22" s="1" t="n">
        <f aca="false">IF(coding!$J22="",0,IF(ISNUMBER(SEARCH("T3",coding!$J22)),1,0))</f>
        <v>0</v>
      </c>
      <c r="Q22" s="1" t="n">
        <f aca="false">IF(coding!$J22="",0,IF(ISNUMBER(SEARCH("T4",coding!$J22)),1,0))</f>
        <v>0</v>
      </c>
      <c r="R22" s="1" t="n">
        <f aca="false">IF(coding!$J22="",0,IF(ISNUMBER(SEARCH("T5",coding!$J22)),1,0))</f>
        <v>0</v>
      </c>
      <c r="S22" s="1" t="n">
        <f aca="false">IF(coding!$J22="",0,IF(ISNUMBER(SEARCH("T6",coding!$J22)),1,0))</f>
        <v>0</v>
      </c>
      <c r="T22" s="1" t="n">
        <f aca="false">IF(coding!$J22="",0,IF(ISNUMBER(SEARCH("T7",coding!$J22)),1,0))</f>
        <v>0</v>
      </c>
      <c r="U22" s="1" t="n">
        <f aca="false">IF(coding!$J22="",0,IF(ISNUMBER(SEARCH("T8",coding!$J22)),1,0))</f>
        <v>0</v>
      </c>
      <c r="V22" s="1" t="n">
        <f aca="false">IF(coding!$J22="",0,IF(ISNUMBER(SEARCH("T9",coding!$J22)),1,0))</f>
        <v>0</v>
      </c>
      <c r="W22" s="1" t="n">
        <f aca="false">IF(coding!$O22="",0,IF(ISNUMBER(SEARCH("T1",coding!$O22)),1,0))</f>
        <v>1</v>
      </c>
      <c r="X22" s="1" t="n">
        <f aca="false">IF(coding!$O22="",0,IF(ISNUMBER(SEARCH("T2",coding!$O22)),1,0))</f>
        <v>0</v>
      </c>
      <c r="Y22" s="1" t="n">
        <f aca="false">IF(coding!$O22="",0,IF(ISNUMBER(SEARCH("T3",coding!$O22)),1,0))</f>
        <v>0</v>
      </c>
      <c r="Z22" s="1" t="n">
        <f aca="false">IF(coding!$O22="",0,IF(ISNUMBER(SEARCH("T4",coding!$O22)),1,0))</f>
        <v>0</v>
      </c>
      <c r="AA22" s="1" t="n">
        <f aca="false">IF(coding!$O22="",0,IF(ISNUMBER(SEARCH("T5",coding!$O22)),1,0))</f>
        <v>0</v>
      </c>
      <c r="AB22" s="1" t="n">
        <f aca="false">IF(coding!$O22="",0,IF(ISNUMBER(SEARCH("T6",coding!$O22)),1,0))</f>
        <v>0</v>
      </c>
      <c r="AC22" s="1" t="n">
        <f aca="false">IF(coding!$O22="",0,IF(ISNUMBER(SEARCH("T7",coding!$O22)),1,0))</f>
        <v>0</v>
      </c>
      <c r="AD22" s="1" t="n">
        <f aca="false">IF(coding!$O22="",0,IF(ISNUMBER(SEARCH("T8",coding!$O22)),1,0))</f>
        <v>0</v>
      </c>
      <c r="AE22" s="1" t="n">
        <f aca="false">IF(coding!$O22="",0,IF(ISNUMBER(SEARCH("T9",coding!$O22)),1,0))</f>
        <v>0</v>
      </c>
      <c r="AF22" s="1" t="n">
        <f aca="false">SUMPRODUCT($E22:$M22,$N22:$V22)</f>
        <v>0</v>
      </c>
      <c r="AG22" s="1" t="n">
        <f aca="false">SUMPRODUCT(--(($E22:$M22+$N22:$V22)&gt;0))</f>
        <v>0</v>
      </c>
      <c r="AH22" s="1" t="str">
        <f aca="false">IF(AND($B22=1,$C22=1),IF($AG22=0,1,$AF22/$AG22),"")</f>
        <v/>
      </c>
      <c r="AI22" s="1" t="str">
        <f aca="false">IF(AND($B22=1,$C22=1),IF(coding!$I22=coding!$J22,1,0),"")</f>
        <v/>
      </c>
      <c r="AJ22" s="1" t="str">
        <f aca="false">IF($B22=1,IF(SUMPRODUCT(--(($E22:$M22+$W22:$AE22)&gt;0))=0,1,SUMPRODUCT($E22:$M22,$W22:$AE22)/SUMPRODUCT(--(($E22:$M22+$W22:$AE22)&gt;0))),"")</f>
        <v/>
      </c>
      <c r="AK22" s="1" t="str">
        <f aca="false">IF($C22=1,IF(SUMPRODUCT(--(($N22:$V22+$W22:$AE22)&gt;0))=0,1,SUMPRODUCT($N22:$V22,$W22:$AE22)/SUMPRODUCT(--(($N22:$V22+$W22:$AE22)&gt;0))),"")</f>
        <v/>
      </c>
    </row>
    <row r="23" customFormat="false" ht="15" hidden="false" customHeight="true" outlineLevel="0" collapsed="false">
      <c r="A23" s="1" t="str">
        <f aca="false">coding!$A23</f>
        <v>P022</v>
      </c>
      <c r="B23" s="1" t="n">
        <f aca="false">IF(coding!$I23="",0,1)</f>
        <v>0</v>
      </c>
      <c r="C23" s="1" t="n">
        <f aca="false">IF(coding!$J23="",0,1)</f>
        <v>0</v>
      </c>
      <c r="D23" s="1" t="n">
        <f aca="false">IF(coding!$O23="",0,1)</f>
        <v>1</v>
      </c>
      <c r="E23" s="1" t="n">
        <f aca="false">IF(coding!$I23="",0,IF(ISNUMBER(SEARCH("T1",coding!$I23)),1,0))</f>
        <v>0</v>
      </c>
      <c r="F23" s="1" t="n">
        <f aca="false">IF(coding!$I23="",0,IF(ISNUMBER(SEARCH("T2",coding!$I23)),1,0))</f>
        <v>0</v>
      </c>
      <c r="G23" s="1" t="n">
        <f aca="false">IF(coding!$I23="",0,IF(ISNUMBER(SEARCH("T3",coding!$I23)),1,0))</f>
        <v>0</v>
      </c>
      <c r="H23" s="1" t="n">
        <f aca="false">IF(coding!$I23="",0,IF(ISNUMBER(SEARCH("T4",coding!$I23)),1,0))</f>
        <v>0</v>
      </c>
      <c r="I23" s="1" t="n">
        <f aca="false">IF(coding!$I23="",0,IF(ISNUMBER(SEARCH("T5",coding!$I23)),1,0))</f>
        <v>0</v>
      </c>
      <c r="J23" s="1" t="n">
        <f aca="false">IF(coding!$I23="",0,IF(ISNUMBER(SEARCH("T6",coding!$I23)),1,0))</f>
        <v>0</v>
      </c>
      <c r="K23" s="1" t="n">
        <f aca="false">IF(coding!$I23="",0,IF(ISNUMBER(SEARCH("T7",coding!$I23)),1,0))</f>
        <v>0</v>
      </c>
      <c r="L23" s="1" t="n">
        <f aca="false">IF(coding!$I23="",0,IF(ISNUMBER(SEARCH("T8",coding!$I23)),1,0))</f>
        <v>0</v>
      </c>
      <c r="M23" s="1" t="n">
        <f aca="false">IF(coding!$I23="",0,IF(ISNUMBER(SEARCH("T9",coding!$I23)),1,0))</f>
        <v>0</v>
      </c>
      <c r="N23" s="1" t="n">
        <f aca="false">IF(coding!$J23="",0,IF(ISNUMBER(SEARCH("T1",coding!$J23)),1,0))</f>
        <v>0</v>
      </c>
      <c r="O23" s="1" t="n">
        <f aca="false">IF(coding!$J23="",0,IF(ISNUMBER(SEARCH("T2",coding!$J23)),1,0))</f>
        <v>0</v>
      </c>
      <c r="P23" s="1" t="n">
        <f aca="false">IF(coding!$J23="",0,IF(ISNUMBER(SEARCH("T3",coding!$J23)),1,0))</f>
        <v>0</v>
      </c>
      <c r="Q23" s="1" t="n">
        <f aca="false">IF(coding!$J23="",0,IF(ISNUMBER(SEARCH("T4",coding!$J23)),1,0))</f>
        <v>0</v>
      </c>
      <c r="R23" s="1" t="n">
        <f aca="false">IF(coding!$J23="",0,IF(ISNUMBER(SEARCH("T5",coding!$J23)),1,0))</f>
        <v>0</v>
      </c>
      <c r="S23" s="1" t="n">
        <f aca="false">IF(coding!$J23="",0,IF(ISNUMBER(SEARCH("T6",coding!$J23)),1,0))</f>
        <v>0</v>
      </c>
      <c r="T23" s="1" t="n">
        <f aca="false">IF(coding!$J23="",0,IF(ISNUMBER(SEARCH("T7",coding!$J23)),1,0))</f>
        <v>0</v>
      </c>
      <c r="U23" s="1" t="n">
        <f aca="false">IF(coding!$J23="",0,IF(ISNUMBER(SEARCH("T8",coding!$J23)),1,0))</f>
        <v>0</v>
      </c>
      <c r="V23" s="1" t="n">
        <f aca="false">IF(coding!$J23="",0,IF(ISNUMBER(SEARCH("T9",coding!$J23)),1,0))</f>
        <v>0</v>
      </c>
      <c r="W23" s="1" t="n">
        <f aca="false">IF(coding!$O23="",0,IF(ISNUMBER(SEARCH("T1",coding!$O23)),1,0))</f>
        <v>1</v>
      </c>
      <c r="X23" s="1" t="n">
        <f aca="false">IF(coding!$O23="",0,IF(ISNUMBER(SEARCH("T2",coding!$O23)),1,0))</f>
        <v>1</v>
      </c>
      <c r="Y23" s="1" t="n">
        <f aca="false">IF(coding!$O23="",0,IF(ISNUMBER(SEARCH("T3",coding!$O23)),1,0))</f>
        <v>1</v>
      </c>
      <c r="Z23" s="1" t="n">
        <f aca="false">IF(coding!$O23="",0,IF(ISNUMBER(SEARCH("T4",coding!$O23)),1,0))</f>
        <v>1</v>
      </c>
      <c r="AA23" s="1" t="n">
        <f aca="false">IF(coding!$O23="",0,IF(ISNUMBER(SEARCH("T5",coding!$O23)),1,0))</f>
        <v>0</v>
      </c>
      <c r="AB23" s="1" t="n">
        <f aca="false">IF(coding!$O23="",0,IF(ISNUMBER(SEARCH("T6",coding!$O23)),1,0))</f>
        <v>0</v>
      </c>
      <c r="AC23" s="1" t="n">
        <f aca="false">IF(coding!$O23="",0,IF(ISNUMBER(SEARCH("T7",coding!$O23)),1,0))</f>
        <v>0</v>
      </c>
      <c r="AD23" s="1" t="n">
        <f aca="false">IF(coding!$O23="",0,IF(ISNUMBER(SEARCH("T8",coding!$O23)),1,0))</f>
        <v>0</v>
      </c>
      <c r="AE23" s="1" t="n">
        <f aca="false">IF(coding!$O23="",0,IF(ISNUMBER(SEARCH("T9",coding!$O23)),1,0))</f>
        <v>0</v>
      </c>
      <c r="AF23" s="1" t="n">
        <f aca="false">SUMPRODUCT($E23:$M23,$N23:$V23)</f>
        <v>0</v>
      </c>
      <c r="AG23" s="1" t="n">
        <f aca="false">SUMPRODUCT(--(($E23:$M23+$N23:$V23)&gt;0))</f>
        <v>0</v>
      </c>
      <c r="AH23" s="1" t="str">
        <f aca="false">IF(AND($B23=1,$C23=1),IF($AG23=0,1,$AF23/$AG23),"")</f>
        <v/>
      </c>
      <c r="AI23" s="1" t="str">
        <f aca="false">IF(AND($B23=1,$C23=1),IF(coding!$I23=coding!$J23,1,0),"")</f>
        <v/>
      </c>
      <c r="AJ23" s="1" t="str">
        <f aca="false">IF($B23=1,IF(SUMPRODUCT(--(($E23:$M23+$W23:$AE23)&gt;0))=0,1,SUMPRODUCT($E23:$M23,$W23:$AE23)/SUMPRODUCT(--(($E23:$M23+$W23:$AE23)&gt;0))),"")</f>
        <v/>
      </c>
      <c r="AK23" s="1" t="str">
        <f aca="false">IF($C23=1,IF(SUMPRODUCT(--(($N23:$V23+$W23:$AE23)&gt;0))=0,1,SUMPRODUCT($N23:$V23,$W23:$AE23)/SUMPRODUCT(--(($N23:$V23+$W23:$AE23)&gt;0))),"")</f>
        <v/>
      </c>
    </row>
    <row r="24" customFormat="false" ht="15" hidden="false" customHeight="true" outlineLevel="0" collapsed="false">
      <c r="A24" s="1" t="str">
        <f aca="false">coding!$A24</f>
        <v>P023</v>
      </c>
      <c r="B24" s="1" t="n">
        <f aca="false">IF(coding!$I24="",0,1)</f>
        <v>0</v>
      </c>
      <c r="C24" s="1" t="n">
        <f aca="false">IF(coding!$J24="",0,1)</f>
        <v>0</v>
      </c>
      <c r="D24" s="1" t="n">
        <f aca="false">IF(coding!$O24="",0,1)</f>
        <v>1</v>
      </c>
      <c r="E24" s="1" t="n">
        <f aca="false">IF(coding!$I24="",0,IF(ISNUMBER(SEARCH("T1",coding!$I24)),1,0))</f>
        <v>0</v>
      </c>
      <c r="F24" s="1" t="n">
        <f aca="false">IF(coding!$I24="",0,IF(ISNUMBER(SEARCH("T2",coding!$I24)),1,0))</f>
        <v>0</v>
      </c>
      <c r="G24" s="1" t="n">
        <f aca="false">IF(coding!$I24="",0,IF(ISNUMBER(SEARCH("T3",coding!$I24)),1,0))</f>
        <v>0</v>
      </c>
      <c r="H24" s="1" t="n">
        <f aca="false">IF(coding!$I24="",0,IF(ISNUMBER(SEARCH("T4",coding!$I24)),1,0))</f>
        <v>0</v>
      </c>
      <c r="I24" s="1" t="n">
        <f aca="false">IF(coding!$I24="",0,IF(ISNUMBER(SEARCH("T5",coding!$I24)),1,0))</f>
        <v>0</v>
      </c>
      <c r="J24" s="1" t="n">
        <f aca="false">IF(coding!$I24="",0,IF(ISNUMBER(SEARCH("T6",coding!$I24)),1,0))</f>
        <v>0</v>
      </c>
      <c r="K24" s="1" t="n">
        <f aca="false">IF(coding!$I24="",0,IF(ISNUMBER(SEARCH("T7",coding!$I24)),1,0))</f>
        <v>0</v>
      </c>
      <c r="L24" s="1" t="n">
        <f aca="false">IF(coding!$I24="",0,IF(ISNUMBER(SEARCH("T8",coding!$I24)),1,0))</f>
        <v>0</v>
      </c>
      <c r="M24" s="1" t="n">
        <f aca="false">IF(coding!$I24="",0,IF(ISNUMBER(SEARCH("T9",coding!$I24)),1,0))</f>
        <v>0</v>
      </c>
      <c r="N24" s="1" t="n">
        <f aca="false">IF(coding!$J24="",0,IF(ISNUMBER(SEARCH("T1",coding!$J24)),1,0))</f>
        <v>0</v>
      </c>
      <c r="O24" s="1" t="n">
        <f aca="false">IF(coding!$J24="",0,IF(ISNUMBER(SEARCH("T2",coding!$J24)),1,0))</f>
        <v>0</v>
      </c>
      <c r="P24" s="1" t="n">
        <f aca="false">IF(coding!$J24="",0,IF(ISNUMBER(SEARCH("T3",coding!$J24)),1,0))</f>
        <v>0</v>
      </c>
      <c r="Q24" s="1" t="n">
        <f aca="false">IF(coding!$J24="",0,IF(ISNUMBER(SEARCH("T4",coding!$J24)),1,0))</f>
        <v>0</v>
      </c>
      <c r="R24" s="1" t="n">
        <f aca="false">IF(coding!$J24="",0,IF(ISNUMBER(SEARCH("T5",coding!$J24)),1,0))</f>
        <v>0</v>
      </c>
      <c r="S24" s="1" t="n">
        <f aca="false">IF(coding!$J24="",0,IF(ISNUMBER(SEARCH("T6",coding!$J24)),1,0))</f>
        <v>0</v>
      </c>
      <c r="T24" s="1" t="n">
        <f aca="false">IF(coding!$J24="",0,IF(ISNUMBER(SEARCH("T7",coding!$J24)),1,0))</f>
        <v>0</v>
      </c>
      <c r="U24" s="1" t="n">
        <f aca="false">IF(coding!$J24="",0,IF(ISNUMBER(SEARCH("T8",coding!$J24)),1,0))</f>
        <v>0</v>
      </c>
      <c r="V24" s="1" t="n">
        <f aca="false">IF(coding!$J24="",0,IF(ISNUMBER(SEARCH("T9",coding!$J24)),1,0))</f>
        <v>0</v>
      </c>
      <c r="W24" s="1" t="n">
        <f aca="false">IF(coding!$O24="",0,IF(ISNUMBER(SEARCH("T1",coding!$O24)),1,0))</f>
        <v>1</v>
      </c>
      <c r="X24" s="1" t="n">
        <f aca="false">IF(coding!$O24="",0,IF(ISNUMBER(SEARCH("T2",coding!$O24)),1,0))</f>
        <v>0</v>
      </c>
      <c r="Y24" s="1" t="n">
        <f aca="false">IF(coding!$O24="",0,IF(ISNUMBER(SEARCH("T3",coding!$O24)),1,0))</f>
        <v>0</v>
      </c>
      <c r="Z24" s="1" t="n">
        <f aca="false">IF(coding!$O24="",0,IF(ISNUMBER(SEARCH("T4",coding!$O24)),1,0))</f>
        <v>0</v>
      </c>
      <c r="AA24" s="1" t="n">
        <f aca="false">IF(coding!$O24="",0,IF(ISNUMBER(SEARCH("T5",coding!$O24)),1,0))</f>
        <v>1</v>
      </c>
      <c r="AB24" s="1" t="n">
        <f aca="false">IF(coding!$O24="",0,IF(ISNUMBER(SEARCH("T6",coding!$O24)),1,0))</f>
        <v>1</v>
      </c>
      <c r="AC24" s="1" t="n">
        <f aca="false">IF(coding!$O24="",0,IF(ISNUMBER(SEARCH("T7",coding!$O24)),1,0))</f>
        <v>0</v>
      </c>
      <c r="AD24" s="1" t="n">
        <f aca="false">IF(coding!$O24="",0,IF(ISNUMBER(SEARCH("T8",coding!$O24)),1,0))</f>
        <v>0</v>
      </c>
      <c r="AE24" s="1" t="n">
        <f aca="false">IF(coding!$O24="",0,IF(ISNUMBER(SEARCH("T9",coding!$O24)),1,0))</f>
        <v>0</v>
      </c>
      <c r="AF24" s="1" t="n">
        <f aca="false">SUMPRODUCT($E24:$M24,$N24:$V24)</f>
        <v>0</v>
      </c>
      <c r="AG24" s="1" t="n">
        <f aca="false">SUMPRODUCT(--(($E24:$M24+$N24:$V24)&gt;0))</f>
        <v>0</v>
      </c>
      <c r="AH24" s="1" t="str">
        <f aca="false">IF(AND($B24=1,$C24=1),IF($AG24=0,1,$AF24/$AG24),"")</f>
        <v/>
      </c>
      <c r="AI24" s="1" t="str">
        <f aca="false">IF(AND($B24=1,$C24=1),IF(coding!$I24=coding!$J24,1,0),"")</f>
        <v/>
      </c>
      <c r="AJ24" s="1" t="str">
        <f aca="false">IF($B24=1,IF(SUMPRODUCT(--(($E24:$M24+$W24:$AE24)&gt;0))=0,1,SUMPRODUCT($E24:$M24,$W24:$AE24)/SUMPRODUCT(--(($E24:$M24+$W24:$AE24)&gt;0))),"")</f>
        <v/>
      </c>
      <c r="AK24" s="1" t="str">
        <f aca="false">IF($C24=1,IF(SUMPRODUCT(--(($N24:$V24+$W24:$AE24)&gt;0))=0,1,SUMPRODUCT($N24:$V24,$W24:$AE24)/SUMPRODUCT(--(($N24:$V24+$W24:$AE24)&gt;0))),"")</f>
        <v/>
      </c>
    </row>
    <row r="25" customFormat="false" ht="15" hidden="false" customHeight="true" outlineLevel="0" collapsed="false">
      <c r="A25" s="1" t="str">
        <f aca="false">coding!$A25</f>
        <v>P024</v>
      </c>
      <c r="B25" s="1" t="n">
        <f aca="false">IF(coding!$I25="",0,1)</f>
        <v>0</v>
      </c>
      <c r="C25" s="1" t="n">
        <f aca="false">IF(coding!$J25="",0,1)</f>
        <v>0</v>
      </c>
      <c r="D25" s="1" t="n">
        <f aca="false">IF(coding!$O25="",0,1)</f>
        <v>1</v>
      </c>
      <c r="E25" s="1" t="n">
        <f aca="false">IF(coding!$I25="",0,IF(ISNUMBER(SEARCH("T1",coding!$I25)),1,0))</f>
        <v>0</v>
      </c>
      <c r="F25" s="1" t="n">
        <f aca="false">IF(coding!$I25="",0,IF(ISNUMBER(SEARCH("T2",coding!$I25)),1,0))</f>
        <v>0</v>
      </c>
      <c r="G25" s="1" t="n">
        <f aca="false">IF(coding!$I25="",0,IF(ISNUMBER(SEARCH("T3",coding!$I25)),1,0))</f>
        <v>0</v>
      </c>
      <c r="H25" s="1" t="n">
        <f aca="false">IF(coding!$I25="",0,IF(ISNUMBER(SEARCH("T4",coding!$I25)),1,0))</f>
        <v>0</v>
      </c>
      <c r="I25" s="1" t="n">
        <f aca="false">IF(coding!$I25="",0,IF(ISNUMBER(SEARCH("T5",coding!$I25)),1,0))</f>
        <v>0</v>
      </c>
      <c r="J25" s="1" t="n">
        <f aca="false">IF(coding!$I25="",0,IF(ISNUMBER(SEARCH("T6",coding!$I25)),1,0))</f>
        <v>0</v>
      </c>
      <c r="K25" s="1" t="n">
        <f aca="false">IF(coding!$I25="",0,IF(ISNUMBER(SEARCH("T7",coding!$I25)),1,0))</f>
        <v>0</v>
      </c>
      <c r="L25" s="1" t="n">
        <f aca="false">IF(coding!$I25="",0,IF(ISNUMBER(SEARCH("T8",coding!$I25)),1,0))</f>
        <v>0</v>
      </c>
      <c r="M25" s="1" t="n">
        <f aca="false">IF(coding!$I25="",0,IF(ISNUMBER(SEARCH("T9",coding!$I25)),1,0))</f>
        <v>0</v>
      </c>
      <c r="N25" s="1" t="n">
        <f aca="false">IF(coding!$J25="",0,IF(ISNUMBER(SEARCH("T1",coding!$J25)),1,0))</f>
        <v>0</v>
      </c>
      <c r="O25" s="1" t="n">
        <f aca="false">IF(coding!$J25="",0,IF(ISNUMBER(SEARCH("T2",coding!$J25)),1,0))</f>
        <v>0</v>
      </c>
      <c r="P25" s="1" t="n">
        <f aca="false">IF(coding!$J25="",0,IF(ISNUMBER(SEARCH("T3",coding!$J25)),1,0))</f>
        <v>0</v>
      </c>
      <c r="Q25" s="1" t="n">
        <f aca="false">IF(coding!$J25="",0,IF(ISNUMBER(SEARCH("T4",coding!$J25)),1,0))</f>
        <v>0</v>
      </c>
      <c r="R25" s="1" t="n">
        <f aca="false">IF(coding!$J25="",0,IF(ISNUMBER(SEARCH("T5",coding!$J25)),1,0))</f>
        <v>0</v>
      </c>
      <c r="S25" s="1" t="n">
        <f aca="false">IF(coding!$J25="",0,IF(ISNUMBER(SEARCH("T6",coding!$J25)),1,0))</f>
        <v>0</v>
      </c>
      <c r="T25" s="1" t="n">
        <f aca="false">IF(coding!$J25="",0,IF(ISNUMBER(SEARCH("T7",coding!$J25)),1,0))</f>
        <v>0</v>
      </c>
      <c r="U25" s="1" t="n">
        <f aca="false">IF(coding!$J25="",0,IF(ISNUMBER(SEARCH("T8",coding!$J25)),1,0))</f>
        <v>0</v>
      </c>
      <c r="V25" s="1" t="n">
        <f aca="false">IF(coding!$J25="",0,IF(ISNUMBER(SEARCH("T9",coding!$J25)),1,0))</f>
        <v>0</v>
      </c>
      <c r="W25" s="1" t="n">
        <f aca="false">IF(coding!$O25="",0,IF(ISNUMBER(SEARCH("T1",coding!$O25)),1,0))</f>
        <v>1</v>
      </c>
      <c r="X25" s="1" t="n">
        <f aca="false">IF(coding!$O25="",0,IF(ISNUMBER(SEARCH("T2",coding!$O25)),1,0))</f>
        <v>0</v>
      </c>
      <c r="Y25" s="1" t="n">
        <f aca="false">IF(coding!$O25="",0,IF(ISNUMBER(SEARCH("T3",coding!$O25)),1,0))</f>
        <v>0</v>
      </c>
      <c r="Z25" s="1" t="n">
        <f aca="false">IF(coding!$O25="",0,IF(ISNUMBER(SEARCH("T4",coding!$O25)),1,0))</f>
        <v>0</v>
      </c>
      <c r="AA25" s="1" t="n">
        <f aca="false">IF(coding!$O25="",0,IF(ISNUMBER(SEARCH("T5",coding!$O25)),1,0))</f>
        <v>0</v>
      </c>
      <c r="AB25" s="1" t="n">
        <f aca="false">IF(coding!$O25="",0,IF(ISNUMBER(SEARCH("T6",coding!$O25)),1,0))</f>
        <v>0</v>
      </c>
      <c r="AC25" s="1" t="n">
        <f aca="false">IF(coding!$O25="",0,IF(ISNUMBER(SEARCH("T7",coding!$O25)),1,0))</f>
        <v>0</v>
      </c>
      <c r="AD25" s="1" t="n">
        <f aca="false">IF(coding!$O25="",0,IF(ISNUMBER(SEARCH("T8",coding!$O25)),1,0))</f>
        <v>0</v>
      </c>
      <c r="AE25" s="1" t="n">
        <f aca="false">IF(coding!$O25="",0,IF(ISNUMBER(SEARCH("T9",coding!$O25)),1,0))</f>
        <v>0</v>
      </c>
      <c r="AF25" s="1" t="n">
        <f aca="false">SUMPRODUCT($E25:$M25,$N25:$V25)</f>
        <v>0</v>
      </c>
      <c r="AG25" s="1" t="n">
        <f aca="false">SUMPRODUCT(--(($E25:$M25+$N25:$V25)&gt;0))</f>
        <v>0</v>
      </c>
      <c r="AH25" s="1" t="str">
        <f aca="false">IF(AND($B25=1,$C25=1),IF($AG25=0,1,$AF25/$AG25),"")</f>
        <v/>
      </c>
      <c r="AI25" s="1" t="str">
        <f aca="false">IF(AND($B25=1,$C25=1),IF(coding!$I25=coding!$J25,1,0),"")</f>
        <v/>
      </c>
      <c r="AJ25" s="1" t="str">
        <f aca="false">IF($B25=1,IF(SUMPRODUCT(--(($E25:$M25+$W25:$AE25)&gt;0))=0,1,SUMPRODUCT($E25:$M25,$W25:$AE25)/SUMPRODUCT(--(($E25:$M25+$W25:$AE25)&gt;0))),"")</f>
        <v/>
      </c>
      <c r="AK25" s="1" t="str">
        <f aca="false">IF($C25=1,IF(SUMPRODUCT(--(($N25:$V25+$W25:$AE25)&gt;0))=0,1,SUMPRODUCT($N25:$V25,$W25:$AE25)/SUMPRODUCT(--(($N25:$V25+$W25:$AE25)&gt;0))),"")</f>
        <v/>
      </c>
    </row>
    <row r="26" customFormat="false" ht="15" hidden="false" customHeight="true" outlineLevel="0" collapsed="false">
      <c r="A26" s="1" t="str">
        <f aca="false">coding!$A26</f>
        <v>P025</v>
      </c>
      <c r="B26" s="1" t="n">
        <f aca="false">IF(coding!$I26="",0,1)</f>
        <v>0</v>
      </c>
      <c r="C26" s="1" t="n">
        <f aca="false">IF(coding!$J26="",0,1)</f>
        <v>0</v>
      </c>
      <c r="D26" s="1" t="n">
        <f aca="false">IF(coding!$O26="",0,1)</f>
        <v>1</v>
      </c>
      <c r="E26" s="1" t="n">
        <f aca="false">IF(coding!$I26="",0,IF(ISNUMBER(SEARCH("T1",coding!$I26)),1,0))</f>
        <v>0</v>
      </c>
      <c r="F26" s="1" t="n">
        <f aca="false">IF(coding!$I26="",0,IF(ISNUMBER(SEARCH("T2",coding!$I26)),1,0))</f>
        <v>0</v>
      </c>
      <c r="G26" s="1" t="n">
        <f aca="false">IF(coding!$I26="",0,IF(ISNUMBER(SEARCH("T3",coding!$I26)),1,0))</f>
        <v>0</v>
      </c>
      <c r="H26" s="1" t="n">
        <f aca="false">IF(coding!$I26="",0,IF(ISNUMBER(SEARCH("T4",coding!$I26)),1,0))</f>
        <v>0</v>
      </c>
      <c r="I26" s="1" t="n">
        <f aca="false">IF(coding!$I26="",0,IF(ISNUMBER(SEARCH("T5",coding!$I26)),1,0))</f>
        <v>0</v>
      </c>
      <c r="J26" s="1" t="n">
        <f aca="false">IF(coding!$I26="",0,IF(ISNUMBER(SEARCH("T6",coding!$I26)),1,0))</f>
        <v>0</v>
      </c>
      <c r="K26" s="1" t="n">
        <f aca="false">IF(coding!$I26="",0,IF(ISNUMBER(SEARCH("T7",coding!$I26)),1,0))</f>
        <v>0</v>
      </c>
      <c r="L26" s="1" t="n">
        <f aca="false">IF(coding!$I26="",0,IF(ISNUMBER(SEARCH("T8",coding!$I26)),1,0))</f>
        <v>0</v>
      </c>
      <c r="M26" s="1" t="n">
        <f aca="false">IF(coding!$I26="",0,IF(ISNUMBER(SEARCH("T9",coding!$I26)),1,0))</f>
        <v>0</v>
      </c>
      <c r="N26" s="1" t="n">
        <f aca="false">IF(coding!$J26="",0,IF(ISNUMBER(SEARCH("T1",coding!$J26)),1,0))</f>
        <v>0</v>
      </c>
      <c r="O26" s="1" t="n">
        <f aca="false">IF(coding!$J26="",0,IF(ISNUMBER(SEARCH("T2",coding!$J26)),1,0))</f>
        <v>0</v>
      </c>
      <c r="P26" s="1" t="n">
        <f aca="false">IF(coding!$J26="",0,IF(ISNUMBER(SEARCH("T3",coding!$J26)),1,0))</f>
        <v>0</v>
      </c>
      <c r="Q26" s="1" t="n">
        <f aca="false">IF(coding!$J26="",0,IF(ISNUMBER(SEARCH("T4",coding!$J26)),1,0))</f>
        <v>0</v>
      </c>
      <c r="R26" s="1" t="n">
        <f aca="false">IF(coding!$J26="",0,IF(ISNUMBER(SEARCH("T5",coding!$J26)),1,0))</f>
        <v>0</v>
      </c>
      <c r="S26" s="1" t="n">
        <f aca="false">IF(coding!$J26="",0,IF(ISNUMBER(SEARCH("T6",coding!$J26)),1,0))</f>
        <v>0</v>
      </c>
      <c r="T26" s="1" t="n">
        <f aca="false">IF(coding!$J26="",0,IF(ISNUMBER(SEARCH("T7",coding!$J26)),1,0))</f>
        <v>0</v>
      </c>
      <c r="U26" s="1" t="n">
        <f aca="false">IF(coding!$J26="",0,IF(ISNUMBER(SEARCH("T8",coding!$J26)),1,0))</f>
        <v>0</v>
      </c>
      <c r="V26" s="1" t="n">
        <f aca="false">IF(coding!$J26="",0,IF(ISNUMBER(SEARCH("T9",coding!$J26)),1,0))</f>
        <v>0</v>
      </c>
      <c r="W26" s="1" t="n">
        <f aca="false">IF(coding!$O26="",0,IF(ISNUMBER(SEARCH("T1",coding!$O26)),1,0))</f>
        <v>1</v>
      </c>
      <c r="X26" s="1" t="n">
        <f aca="false">IF(coding!$O26="",0,IF(ISNUMBER(SEARCH("T2",coding!$O26)),1,0))</f>
        <v>0</v>
      </c>
      <c r="Y26" s="1" t="n">
        <f aca="false">IF(coding!$O26="",0,IF(ISNUMBER(SEARCH("T3",coding!$O26)),1,0))</f>
        <v>0</v>
      </c>
      <c r="Z26" s="1" t="n">
        <f aca="false">IF(coding!$O26="",0,IF(ISNUMBER(SEARCH("T4",coding!$O26)),1,0))</f>
        <v>0</v>
      </c>
      <c r="AA26" s="1" t="n">
        <f aca="false">IF(coding!$O26="",0,IF(ISNUMBER(SEARCH("T5",coding!$O26)),1,0))</f>
        <v>0</v>
      </c>
      <c r="AB26" s="1" t="n">
        <f aca="false">IF(coding!$O26="",0,IF(ISNUMBER(SEARCH("T6",coding!$O26)),1,0))</f>
        <v>0</v>
      </c>
      <c r="AC26" s="1" t="n">
        <f aca="false">IF(coding!$O26="",0,IF(ISNUMBER(SEARCH("T7",coding!$O26)),1,0))</f>
        <v>0</v>
      </c>
      <c r="AD26" s="1" t="n">
        <f aca="false">IF(coding!$O26="",0,IF(ISNUMBER(SEARCH("T8",coding!$O26)),1,0))</f>
        <v>0</v>
      </c>
      <c r="AE26" s="1" t="n">
        <f aca="false">IF(coding!$O26="",0,IF(ISNUMBER(SEARCH("T9",coding!$O26)),1,0))</f>
        <v>0</v>
      </c>
      <c r="AF26" s="1" t="n">
        <f aca="false">SUMPRODUCT($E26:$M26,$N26:$V26)</f>
        <v>0</v>
      </c>
      <c r="AG26" s="1" t="n">
        <f aca="false">SUMPRODUCT(--(($E26:$M26+$N26:$V26)&gt;0))</f>
        <v>0</v>
      </c>
      <c r="AH26" s="1" t="str">
        <f aca="false">IF(AND($B26=1,$C26=1),IF($AG26=0,1,$AF26/$AG26),"")</f>
        <v/>
      </c>
      <c r="AI26" s="1" t="str">
        <f aca="false">IF(AND($B26=1,$C26=1),IF(coding!$I26=coding!$J26,1,0),"")</f>
        <v/>
      </c>
      <c r="AJ26" s="1" t="str">
        <f aca="false">IF($B26=1,IF(SUMPRODUCT(--(($E26:$M26+$W26:$AE26)&gt;0))=0,1,SUMPRODUCT($E26:$M26,$W26:$AE26)/SUMPRODUCT(--(($E26:$M26+$W26:$AE26)&gt;0))),"")</f>
        <v/>
      </c>
      <c r="AK26" s="1" t="str">
        <f aca="false">IF($C26=1,IF(SUMPRODUCT(--(($N26:$V26+$W26:$AE26)&gt;0))=0,1,SUMPRODUCT($N26:$V26,$W26:$AE26)/SUMPRODUCT(--(($N26:$V26+$W26:$AE26)&gt;0))),"")</f>
        <v/>
      </c>
    </row>
    <row r="27" customFormat="false" ht="15" hidden="false" customHeight="true" outlineLevel="0" collapsed="false">
      <c r="A27" s="1" t="str">
        <f aca="false">coding!$A27</f>
        <v>P026</v>
      </c>
      <c r="B27" s="1" t="n">
        <f aca="false">IF(coding!$I27="",0,1)</f>
        <v>0</v>
      </c>
      <c r="C27" s="1" t="n">
        <f aca="false">IF(coding!$J27="",0,1)</f>
        <v>0</v>
      </c>
      <c r="D27" s="1" t="n">
        <f aca="false">IF(coding!$O27="",0,1)</f>
        <v>1</v>
      </c>
      <c r="E27" s="1" t="n">
        <f aca="false">IF(coding!$I27="",0,IF(ISNUMBER(SEARCH("T1",coding!$I27)),1,0))</f>
        <v>0</v>
      </c>
      <c r="F27" s="1" t="n">
        <f aca="false">IF(coding!$I27="",0,IF(ISNUMBER(SEARCH("T2",coding!$I27)),1,0))</f>
        <v>0</v>
      </c>
      <c r="G27" s="1" t="n">
        <f aca="false">IF(coding!$I27="",0,IF(ISNUMBER(SEARCH("T3",coding!$I27)),1,0))</f>
        <v>0</v>
      </c>
      <c r="H27" s="1" t="n">
        <f aca="false">IF(coding!$I27="",0,IF(ISNUMBER(SEARCH("T4",coding!$I27)),1,0))</f>
        <v>0</v>
      </c>
      <c r="I27" s="1" t="n">
        <f aca="false">IF(coding!$I27="",0,IF(ISNUMBER(SEARCH("T5",coding!$I27)),1,0))</f>
        <v>0</v>
      </c>
      <c r="J27" s="1" t="n">
        <f aca="false">IF(coding!$I27="",0,IF(ISNUMBER(SEARCH("T6",coding!$I27)),1,0))</f>
        <v>0</v>
      </c>
      <c r="K27" s="1" t="n">
        <f aca="false">IF(coding!$I27="",0,IF(ISNUMBER(SEARCH("T7",coding!$I27)),1,0))</f>
        <v>0</v>
      </c>
      <c r="L27" s="1" t="n">
        <f aca="false">IF(coding!$I27="",0,IF(ISNUMBER(SEARCH("T8",coding!$I27)),1,0))</f>
        <v>0</v>
      </c>
      <c r="M27" s="1" t="n">
        <f aca="false">IF(coding!$I27="",0,IF(ISNUMBER(SEARCH("T9",coding!$I27)),1,0))</f>
        <v>0</v>
      </c>
      <c r="N27" s="1" t="n">
        <f aca="false">IF(coding!$J27="",0,IF(ISNUMBER(SEARCH("T1",coding!$J27)),1,0))</f>
        <v>0</v>
      </c>
      <c r="O27" s="1" t="n">
        <f aca="false">IF(coding!$J27="",0,IF(ISNUMBER(SEARCH("T2",coding!$J27)),1,0))</f>
        <v>0</v>
      </c>
      <c r="P27" s="1" t="n">
        <f aca="false">IF(coding!$J27="",0,IF(ISNUMBER(SEARCH("T3",coding!$J27)),1,0))</f>
        <v>0</v>
      </c>
      <c r="Q27" s="1" t="n">
        <f aca="false">IF(coding!$J27="",0,IF(ISNUMBER(SEARCH("T4",coding!$J27)),1,0))</f>
        <v>0</v>
      </c>
      <c r="R27" s="1" t="n">
        <f aca="false">IF(coding!$J27="",0,IF(ISNUMBER(SEARCH("T5",coding!$J27)),1,0))</f>
        <v>0</v>
      </c>
      <c r="S27" s="1" t="n">
        <f aca="false">IF(coding!$J27="",0,IF(ISNUMBER(SEARCH("T6",coding!$J27)),1,0))</f>
        <v>0</v>
      </c>
      <c r="T27" s="1" t="n">
        <f aca="false">IF(coding!$J27="",0,IF(ISNUMBER(SEARCH("T7",coding!$J27)),1,0))</f>
        <v>0</v>
      </c>
      <c r="U27" s="1" t="n">
        <f aca="false">IF(coding!$J27="",0,IF(ISNUMBER(SEARCH("T8",coding!$J27)),1,0))</f>
        <v>0</v>
      </c>
      <c r="V27" s="1" t="n">
        <f aca="false">IF(coding!$J27="",0,IF(ISNUMBER(SEARCH("T9",coding!$J27)),1,0))</f>
        <v>0</v>
      </c>
      <c r="W27" s="1" t="n">
        <f aca="false">IF(coding!$O27="",0,IF(ISNUMBER(SEARCH("T1",coding!$O27)),1,0))</f>
        <v>1</v>
      </c>
      <c r="X27" s="1" t="n">
        <f aca="false">IF(coding!$O27="",0,IF(ISNUMBER(SEARCH("T2",coding!$O27)),1,0))</f>
        <v>1</v>
      </c>
      <c r="Y27" s="1" t="n">
        <f aca="false">IF(coding!$O27="",0,IF(ISNUMBER(SEARCH("T3",coding!$O27)),1,0))</f>
        <v>0</v>
      </c>
      <c r="Z27" s="1" t="n">
        <f aca="false">IF(coding!$O27="",0,IF(ISNUMBER(SEARCH("T4",coding!$O27)),1,0))</f>
        <v>0</v>
      </c>
      <c r="AA27" s="1" t="n">
        <f aca="false">IF(coding!$O27="",0,IF(ISNUMBER(SEARCH("T5",coding!$O27)),1,0))</f>
        <v>0</v>
      </c>
      <c r="AB27" s="1" t="n">
        <f aca="false">IF(coding!$O27="",0,IF(ISNUMBER(SEARCH("T6",coding!$O27)),1,0))</f>
        <v>1</v>
      </c>
      <c r="AC27" s="1" t="n">
        <f aca="false">IF(coding!$O27="",0,IF(ISNUMBER(SEARCH("T7",coding!$O27)),1,0))</f>
        <v>1</v>
      </c>
      <c r="AD27" s="1" t="n">
        <f aca="false">IF(coding!$O27="",0,IF(ISNUMBER(SEARCH("T8",coding!$O27)),1,0))</f>
        <v>0</v>
      </c>
      <c r="AE27" s="1" t="n">
        <f aca="false">IF(coding!$O27="",0,IF(ISNUMBER(SEARCH("T9",coding!$O27)),1,0))</f>
        <v>0</v>
      </c>
      <c r="AF27" s="1" t="n">
        <f aca="false">SUMPRODUCT($E27:$M27,$N27:$V27)</f>
        <v>0</v>
      </c>
      <c r="AG27" s="1" t="n">
        <f aca="false">SUMPRODUCT(--(($E27:$M27+$N27:$V27)&gt;0))</f>
        <v>0</v>
      </c>
      <c r="AH27" s="1" t="str">
        <f aca="false">IF(AND($B27=1,$C27=1),IF($AG27=0,1,$AF27/$AG27),"")</f>
        <v/>
      </c>
      <c r="AI27" s="1" t="str">
        <f aca="false">IF(AND($B27=1,$C27=1),IF(coding!$I27=coding!$J27,1,0),"")</f>
        <v/>
      </c>
      <c r="AJ27" s="1" t="str">
        <f aca="false">IF($B27=1,IF(SUMPRODUCT(--(($E27:$M27+$W27:$AE27)&gt;0))=0,1,SUMPRODUCT($E27:$M27,$W27:$AE27)/SUMPRODUCT(--(($E27:$M27+$W27:$AE27)&gt;0))),"")</f>
        <v/>
      </c>
      <c r="AK27" s="1" t="str">
        <f aca="false">IF($C27=1,IF(SUMPRODUCT(--(($N27:$V27+$W27:$AE27)&gt;0))=0,1,SUMPRODUCT($N27:$V27,$W27:$AE27)/SUMPRODUCT(--(($N27:$V27+$W27:$AE27)&gt;0))),"")</f>
        <v/>
      </c>
    </row>
    <row r="28" customFormat="false" ht="15" hidden="false" customHeight="true" outlineLevel="0" collapsed="false">
      <c r="A28" s="1" t="str">
        <f aca="false">coding!$A28</f>
        <v>P027</v>
      </c>
      <c r="B28" s="1" t="n">
        <f aca="false">IF(coding!$I28="",0,1)</f>
        <v>0</v>
      </c>
      <c r="C28" s="1" t="n">
        <f aca="false">IF(coding!$J28="",0,1)</f>
        <v>0</v>
      </c>
      <c r="D28" s="1" t="n">
        <f aca="false">IF(coding!$O28="",0,1)</f>
        <v>1</v>
      </c>
      <c r="E28" s="1" t="n">
        <f aca="false">IF(coding!$I28="",0,IF(ISNUMBER(SEARCH("T1",coding!$I28)),1,0))</f>
        <v>0</v>
      </c>
      <c r="F28" s="1" t="n">
        <f aca="false">IF(coding!$I28="",0,IF(ISNUMBER(SEARCH("T2",coding!$I28)),1,0))</f>
        <v>0</v>
      </c>
      <c r="G28" s="1" t="n">
        <f aca="false">IF(coding!$I28="",0,IF(ISNUMBER(SEARCH("T3",coding!$I28)),1,0))</f>
        <v>0</v>
      </c>
      <c r="H28" s="1" t="n">
        <f aca="false">IF(coding!$I28="",0,IF(ISNUMBER(SEARCH("T4",coding!$I28)),1,0))</f>
        <v>0</v>
      </c>
      <c r="I28" s="1" t="n">
        <f aca="false">IF(coding!$I28="",0,IF(ISNUMBER(SEARCH("T5",coding!$I28)),1,0))</f>
        <v>0</v>
      </c>
      <c r="J28" s="1" t="n">
        <f aca="false">IF(coding!$I28="",0,IF(ISNUMBER(SEARCH("T6",coding!$I28)),1,0))</f>
        <v>0</v>
      </c>
      <c r="K28" s="1" t="n">
        <f aca="false">IF(coding!$I28="",0,IF(ISNUMBER(SEARCH("T7",coding!$I28)),1,0))</f>
        <v>0</v>
      </c>
      <c r="L28" s="1" t="n">
        <f aca="false">IF(coding!$I28="",0,IF(ISNUMBER(SEARCH("T8",coding!$I28)),1,0))</f>
        <v>0</v>
      </c>
      <c r="M28" s="1" t="n">
        <f aca="false">IF(coding!$I28="",0,IF(ISNUMBER(SEARCH("T9",coding!$I28)),1,0))</f>
        <v>0</v>
      </c>
      <c r="N28" s="1" t="n">
        <f aca="false">IF(coding!$J28="",0,IF(ISNUMBER(SEARCH("T1",coding!$J28)),1,0))</f>
        <v>0</v>
      </c>
      <c r="O28" s="1" t="n">
        <f aca="false">IF(coding!$J28="",0,IF(ISNUMBER(SEARCH("T2",coding!$J28)),1,0))</f>
        <v>0</v>
      </c>
      <c r="P28" s="1" t="n">
        <f aca="false">IF(coding!$J28="",0,IF(ISNUMBER(SEARCH("T3",coding!$J28)),1,0))</f>
        <v>0</v>
      </c>
      <c r="Q28" s="1" t="n">
        <f aca="false">IF(coding!$J28="",0,IF(ISNUMBER(SEARCH("T4",coding!$J28)),1,0))</f>
        <v>0</v>
      </c>
      <c r="R28" s="1" t="n">
        <f aca="false">IF(coding!$J28="",0,IF(ISNUMBER(SEARCH("T5",coding!$J28)),1,0))</f>
        <v>0</v>
      </c>
      <c r="S28" s="1" t="n">
        <f aca="false">IF(coding!$J28="",0,IF(ISNUMBER(SEARCH("T6",coding!$J28)),1,0))</f>
        <v>0</v>
      </c>
      <c r="T28" s="1" t="n">
        <f aca="false">IF(coding!$J28="",0,IF(ISNUMBER(SEARCH("T7",coding!$J28)),1,0))</f>
        <v>0</v>
      </c>
      <c r="U28" s="1" t="n">
        <f aca="false">IF(coding!$J28="",0,IF(ISNUMBER(SEARCH("T8",coding!$J28)),1,0))</f>
        <v>0</v>
      </c>
      <c r="V28" s="1" t="n">
        <f aca="false">IF(coding!$J28="",0,IF(ISNUMBER(SEARCH("T9",coding!$J28)),1,0))</f>
        <v>0</v>
      </c>
      <c r="W28" s="1" t="n">
        <f aca="false">IF(coding!$O28="",0,IF(ISNUMBER(SEARCH("T1",coding!$O28)),1,0))</f>
        <v>1</v>
      </c>
      <c r="X28" s="1" t="n">
        <f aca="false">IF(coding!$O28="",0,IF(ISNUMBER(SEARCH("T2",coding!$O28)),1,0))</f>
        <v>0</v>
      </c>
      <c r="Y28" s="1" t="n">
        <f aca="false">IF(coding!$O28="",0,IF(ISNUMBER(SEARCH("T3",coding!$O28)),1,0))</f>
        <v>0</v>
      </c>
      <c r="Z28" s="1" t="n">
        <f aca="false">IF(coding!$O28="",0,IF(ISNUMBER(SEARCH("T4",coding!$O28)),1,0))</f>
        <v>1</v>
      </c>
      <c r="AA28" s="1" t="n">
        <f aca="false">IF(coding!$O28="",0,IF(ISNUMBER(SEARCH("T5",coding!$O28)),1,0))</f>
        <v>0</v>
      </c>
      <c r="AB28" s="1" t="n">
        <f aca="false">IF(coding!$O28="",0,IF(ISNUMBER(SEARCH("T6",coding!$O28)),1,0))</f>
        <v>0</v>
      </c>
      <c r="AC28" s="1" t="n">
        <f aca="false">IF(coding!$O28="",0,IF(ISNUMBER(SEARCH("T7",coding!$O28)),1,0))</f>
        <v>0</v>
      </c>
      <c r="AD28" s="1" t="n">
        <f aca="false">IF(coding!$O28="",0,IF(ISNUMBER(SEARCH("T8",coding!$O28)),1,0))</f>
        <v>0</v>
      </c>
      <c r="AE28" s="1" t="n">
        <f aca="false">IF(coding!$O28="",0,IF(ISNUMBER(SEARCH("T9",coding!$O28)),1,0))</f>
        <v>0</v>
      </c>
      <c r="AF28" s="1" t="n">
        <f aca="false">SUMPRODUCT($E28:$M28,$N28:$V28)</f>
        <v>0</v>
      </c>
      <c r="AG28" s="1" t="n">
        <f aca="false">SUMPRODUCT(--(($E28:$M28+$N28:$V28)&gt;0))</f>
        <v>0</v>
      </c>
      <c r="AH28" s="1" t="str">
        <f aca="false">IF(AND($B28=1,$C28=1),IF($AG28=0,1,$AF28/$AG28),"")</f>
        <v/>
      </c>
      <c r="AI28" s="1" t="str">
        <f aca="false">IF(AND($B28=1,$C28=1),IF(coding!$I28=coding!$J28,1,0),"")</f>
        <v/>
      </c>
      <c r="AJ28" s="1" t="str">
        <f aca="false">IF($B28=1,IF(SUMPRODUCT(--(($E28:$M28+$W28:$AE28)&gt;0))=0,1,SUMPRODUCT($E28:$M28,$W28:$AE28)/SUMPRODUCT(--(($E28:$M28+$W28:$AE28)&gt;0))),"")</f>
        <v/>
      </c>
      <c r="AK28" s="1" t="str">
        <f aca="false">IF($C28=1,IF(SUMPRODUCT(--(($N28:$V28+$W28:$AE28)&gt;0))=0,1,SUMPRODUCT($N28:$V28,$W28:$AE28)/SUMPRODUCT(--(($N28:$V28+$W28:$AE28)&gt;0))),"")</f>
        <v/>
      </c>
    </row>
    <row r="29" customFormat="false" ht="15" hidden="false" customHeight="true" outlineLevel="0" collapsed="false">
      <c r="A29" s="1" t="str">
        <f aca="false">coding!$A29</f>
        <v>P028</v>
      </c>
      <c r="B29" s="1" t="n">
        <f aca="false">IF(coding!$I29="",0,1)</f>
        <v>0</v>
      </c>
      <c r="C29" s="1" t="n">
        <f aca="false">IF(coding!$J29="",0,1)</f>
        <v>0</v>
      </c>
      <c r="D29" s="1" t="n">
        <f aca="false">IF(coding!$O29="",0,1)</f>
        <v>1</v>
      </c>
      <c r="E29" s="1" t="n">
        <f aca="false">IF(coding!$I29="",0,IF(ISNUMBER(SEARCH("T1",coding!$I29)),1,0))</f>
        <v>0</v>
      </c>
      <c r="F29" s="1" t="n">
        <f aca="false">IF(coding!$I29="",0,IF(ISNUMBER(SEARCH("T2",coding!$I29)),1,0))</f>
        <v>0</v>
      </c>
      <c r="G29" s="1" t="n">
        <f aca="false">IF(coding!$I29="",0,IF(ISNUMBER(SEARCH("T3",coding!$I29)),1,0))</f>
        <v>0</v>
      </c>
      <c r="H29" s="1" t="n">
        <f aca="false">IF(coding!$I29="",0,IF(ISNUMBER(SEARCH("T4",coding!$I29)),1,0))</f>
        <v>0</v>
      </c>
      <c r="I29" s="1" t="n">
        <f aca="false">IF(coding!$I29="",0,IF(ISNUMBER(SEARCH("T5",coding!$I29)),1,0))</f>
        <v>0</v>
      </c>
      <c r="J29" s="1" t="n">
        <f aca="false">IF(coding!$I29="",0,IF(ISNUMBER(SEARCH("T6",coding!$I29)),1,0))</f>
        <v>0</v>
      </c>
      <c r="K29" s="1" t="n">
        <f aca="false">IF(coding!$I29="",0,IF(ISNUMBER(SEARCH("T7",coding!$I29)),1,0))</f>
        <v>0</v>
      </c>
      <c r="L29" s="1" t="n">
        <f aca="false">IF(coding!$I29="",0,IF(ISNUMBER(SEARCH("T8",coding!$I29)),1,0))</f>
        <v>0</v>
      </c>
      <c r="M29" s="1" t="n">
        <f aca="false">IF(coding!$I29="",0,IF(ISNUMBER(SEARCH("T9",coding!$I29)),1,0))</f>
        <v>0</v>
      </c>
      <c r="N29" s="1" t="n">
        <f aca="false">IF(coding!$J29="",0,IF(ISNUMBER(SEARCH("T1",coding!$J29)),1,0))</f>
        <v>0</v>
      </c>
      <c r="O29" s="1" t="n">
        <f aca="false">IF(coding!$J29="",0,IF(ISNUMBER(SEARCH("T2",coding!$J29)),1,0))</f>
        <v>0</v>
      </c>
      <c r="P29" s="1" t="n">
        <f aca="false">IF(coding!$J29="",0,IF(ISNUMBER(SEARCH("T3",coding!$J29)),1,0))</f>
        <v>0</v>
      </c>
      <c r="Q29" s="1" t="n">
        <f aca="false">IF(coding!$J29="",0,IF(ISNUMBER(SEARCH("T4",coding!$J29)),1,0))</f>
        <v>0</v>
      </c>
      <c r="R29" s="1" t="n">
        <f aca="false">IF(coding!$J29="",0,IF(ISNUMBER(SEARCH("T5",coding!$J29)),1,0))</f>
        <v>0</v>
      </c>
      <c r="S29" s="1" t="n">
        <f aca="false">IF(coding!$J29="",0,IF(ISNUMBER(SEARCH("T6",coding!$J29)),1,0))</f>
        <v>0</v>
      </c>
      <c r="T29" s="1" t="n">
        <f aca="false">IF(coding!$J29="",0,IF(ISNUMBER(SEARCH("T7",coding!$J29)),1,0))</f>
        <v>0</v>
      </c>
      <c r="U29" s="1" t="n">
        <f aca="false">IF(coding!$J29="",0,IF(ISNUMBER(SEARCH("T8",coding!$J29)),1,0))</f>
        <v>0</v>
      </c>
      <c r="V29" s="1" t="n">
        <f aca="false">IF(coding!$J29="",0,IF(ISNUMBER(SEARCH("T9",coding!$J29)),1,0))</f>
        <v>0</v>
      </c>
      <c r="W29" s="1" t="n">
        <f aca="false">IF(coding!$O29="",0,IF(ISNUMBER(SEARCH("T1",coding!$O29)),1,0))</f>
        <v>1</v>
      </c>
      <c r="X29" s="1" t="n">
        <f aca="false">IF(coding!$O29="",0,IF(ISNUMBER(SEARCH("T2",coding!$O29)),1,0))</f>
        <v>0</v>
      </c>
      <c r="Y29" s="1" t="n">
        <f aca="false">IF(coding!$O29="",0,IF(ISNUMBER(SEARCH("T3",coding!$O29)),1,0))</f>
        <v>0</v>
      </c>
      <c r="Z29" s="1" t="n">
        <f aca="false">IF(coding!$O29="",0,IF(ISNUMBER(SEARCH("T4",coding!$O29)),1,0))</f>
        <v>1</v>
      </c>
      <c r="AA29" s="1" t="n">
        <f aca="false">IF(coding!$O29="",0,IF(ISNUMBER(SEARCH("T5",coding!$O29)),1,0))</f>
        <v>0</v>
      </c>
      <c r="AB29" s="1" t="n">
        <f aca="false">IF(coding!$O29="",0,IF(ISNUMBER(SEARCH("T6",coding!$O29)),1,0))</f>
        <v>1</v>
      </c>
      <c r="AC29" s="1" t="n">
        <f aca="false">IF(coding!$O29="",0,IF(ISNUMBER(SEARCH("T7",coding!$O29)),1,0))</f>
        <v>0</v>
      </c>
      <c r="AD29" s="1" t="n">
        <f aca="false">IF(coding!$O29="",0,IF(ISNUMBER(SEARCH("T8",coding!$O29)),1,0))</f>
        <v>0</v>
      </c>
      <c r="AE29" s="1" t="n">
        <f aca="false">IF(coding!$O29="",0,IF(ISNUMBER(SEARCH("T9",coding!$O29)),1,0))</f>
        <v>0</v>
      </c>
      <c r="AF29" s="1" t="n">
        <f aca="false">SUMPRODUCT($E29:$M29,$N29:$V29)</f>
        <v>0</v>
      </c>
      <c r="AG29" s="1" t="n">
        <f aca="false">SUMPRODUCT(--(($E29:$M29+$N29:$V29)&gt;0))</f>
        <v>0</v>
      </c>
      <c r="AH29" s="1" t="str">
        <f aca="false">IF(AND($B29=1,$C29=1),IF($AG29=0,1,$AF29/$AG29),"")</f>
        <v/>
      </c>
      <c r="AI29" s="1" t="str">
        <f aca="false">IF(AND($B29=1,$C29=1),IF(coding!$I29=coding!$J29,1,0),"")</f>
        <v/>
      </c>
      <c r="AJ29" s="1" t="str">
        <f aca="false">IF($B29=1,IF(SUMPRODUCT(--(($E29:$M29+$W29:$AE29)&gt;0))=0,1,SUMPRODUCT($E29:$M29,$W29:$AE29)/SUMPRODUCT(--(($E29:$M29+$W29:$AE29)&gt;0))),"")</f>
        <v/>
      </c>
      <c r="AK29" s="1" t="str">
        <f aca="false">IF($C29=1,IF(SUMPRODUCT(--(($N29:$V29+$W29:$AE29)&gt;0))=0,1,SUMPRODUCT($N29:$V29,$W29:$AE29)/SUMPRODUCT(--(($N29:$V29+$W29:$AE29)&gt;0))),"")</f>
        <v/>
      </c>
    </row>
    <row r="30" customFormat="false" ht="15" hidden="false" customHeight="true" outlineLevel="0" collapsed="false">
      <c r="A30" s="1" t="str">
        <f aca="false">coding!$A30</f>
        <v>P029</v>
      </c>
      <c r="B30" s="1" t="n">
        <f aca="false">IF(coding!$I30="",0,1)</f>
        <v>0</v>
      </c>
      <c r="C30" s="1" t="n">
        <f aca="false">IF(coding!$J30="",0,1)</f>
        <v>0</v>
      </c>
      <c r="D30" s="1" t="n">
        <f aca="false">IF(coding!$O30="",0,1)</f>
        <v>1</v>
      </c>
      <c r="E30" s="1" t="n">
        <f aca="false">IF(coding!$I30="",0,IF(ISNUMBER(SEARCH("T1",coding!$I30)),1,0))</f>
        <v>0</v>
      </c>
      <c r="F30" s="1" t="n">
        <f aca="false">IF(coding!$I30="",0,IF(ISNUMBER(SEARCH("T2",coding!$I30)),1,0))</f>
        <v>0</v>
      </c>
      <c r="G30" s="1" t="n">
        <f aca="false">IF(coding!$I30="",0,IF(ISNUMBER(SEARCH("T3",coding!$I30)),1,0))</f>
        <v>0</v>
      </c>
      <c r="H30" s="1" t="n">
        <f aca="false">IF(coding!$I30="",0,IF(ISNUMBER(SEARCH("T4",coding!$I30)),1,0))</f>
        <v>0</v>
      </c>
      <c r="I30" s="1" t="n">
        <f aca="false">IF(coding!$I30="",0,IF(ISNUMBER(SEARCH("T5",coding!$I30)),1,0))</f>
        <v>0</v>
      </c>
      <c r="J30" s="1" t="n">
        <f aca="false">IF(coding!$I30="",0,IF(ISNUMBER(SEARCH("T6",coding!$I30)),1,0))</f>
        <v>0</v>
      </c>
      <c r="K30" s="1" t="n">
        <f aca="false">IF(coding!$I30="",0,IF(ISNUMBER(SEARCH("T7",coding!$I30)),1,0))</f>
        <v>0</v>
      </c>
      <c r="L30" s="1" t="n">
        <f aca="false">IF(coding!$I30="",0,IF(ISNUMBER(SEARCH("T8",coding!$I30)),1,0))</f>
        <v>0</v>
      </c>
      <c r="M30" s="1" t="n">
        <f aca="false">IF(coding!$I30="",0,IF(ISNUMBER(SEARCH("T9",coding!$I30)),1,0))</f>
        <v>0</v>
      </c>
      <c r="N30" s="1" t="n">
        <f aca="false">IF(coding!$J30="",0,IF(ISNUMBER(SEARCH("T1",coding!$J30)),1,0))</f>
        <v>0</v>
      </c>
      <c r="O30" s="1" t="n">
        <f aca="false">IF(coding!$J30="",0,IF(ISNUMBER(SEARCH("T2",coding!$J30)),1,0))</f>
        <v>0</v>
      </c>
      <c r="P30" s="1" t="n">
        <f aca="false">IF(coding!$J30="",0,IF(ISNUMBER(SEARCH("T3",coding!$J30)),1,0))</f>
        <v>0</v>
      </c>
      <c r="Q30" s="1" t="n">
        <f aca="false">IF(coding!$J30="",0,IF(ISNUMBER(SEARCH("T4",coding!$J30)),1,0))</f>
        <v>0</v>
      </c>
      <c r="R30" s="1" t="n">
        <f aca="false">IF(coding!$J30="",0,IF(ISNUMBER(SEARCH("T5",coding!$J30)),1,0))</f>
        <v>0</v>
      </c>
      <c r="S30" s="1" t="n">
        <f aca="false">IF(coding!$J30="",0,IF(ISNUMBER(SEARCH("T6",coding!$J30)),1,0))</f>
        <v>0</v>
      </c>
      <c r="T30" s="1" t="n">
        <f aca="false">IF(coding!$J30="",0,IF(ISNUMBER(SEARCH("T7",coding!$J30)),1,0))</f>
        <v>0</v>
      </c>
      <c r="U30" s="1" t="n">
        <f aca="false">IF(coding!$J30="",0,IF(ISNUMBER(SEARCH("T8",coding!$J30)),1,0))</f>
        <v>0</v>
      </c>
      <c r="V30" s="1" t="n">
        <f aca="false">IF(coding!$J30="",0,IF(ISNUMBER(SEARCH("T9",coding!$J30)),1,0))</f>
        <v>0</v>
      </c>
      <c r="W30" s="1" t="n">
        <f aca="false">IF(coding!$O30="",0,IF(ISNUMBER(SEARCH("T1",coding!$O30)),1,0))</f>
        <v>1</v>
      </c>
      <c r="X30" s="1" t="n">
        <f aca="false">IF(coding!$O30="",0,IF(ISNUMBER(SEARCH("T2",coding!$O30)),1,0))</f>
        <v>1</v>
      </c>
      <c r="Y30" s="1" t="n">
        <f aca="false">IF(coding!$O30="",0,IF(ISNUMBER(SEARCH("T3",coding!$O30)),1,0))</f>
        <v>0</v>
      </c>
      <c r="Z30" s="1" t="n">
        <f aca="false">IF(coding!$O30="",0,IF(ISNUMBER(SEARCH("T4",coding!$O30)),1,0))</f>
        <v>0</v>
      </c>
      <c r="AA30" s="1" t="n">
        <f aca="false">IF(coding!$O30="",0,IF(ISNUMBER(SEARCH("T5",coding!$O30)),1,0))</f>
        <v>0</v>
      </c>
      <c r="AB30" s="1" t="n">
        <f aca="false">IF(coding!$O30="",0,IF(ISNUMBER(SEARCH("T6",coding!$O30)),1,0))</f>
        <v>1</v>
      </c>
      <c r="AC30" s="1" t="n">
        <f aca="false">IF(coding!$O30="",0,IF(ISNUMBER(SEARCH("T7",coding!$O30)),1,0))</f>
        <v>0</v>
      </c>
      <c r="AD30" s="1" t="n">
        <f aca="false">IF(coding!$O30="",0,IF(ISNUMBER(SEARCH("T8",coding!$O30)),1,0))</f>
        <v>0</v>
      </c>
      <c r="AE30" s="1" t="n">
        <f aca="false">IF(coding!$O30="",0,IF(ISNUMBER(SEARCH("T9",coding!$O30)),1,0))</f>
        <v>0</v>
      </c>
      <c r="AF30" s="1" t="n">
        <f aca="false">SUMPRODUCT($E30:$M30,$N30:$V30)</f>
        <v>0</v>
      </c>
      <c r="AG30" s="1" t="n">
        <f aca="false">SUMPRODUCT(--(($E30:$M30+$N30:$V30)&gt;0))</f>
        <v>0</v>
      </c>
      <c r="AH30" s="1" t="str">
        <f aca="false">IF(AND($B30=1,$C30=1),IF($AG30=0,1,$AF30/$AG30),"")</f>
        <v/>
      </c>
      <c r="AI30" s="1" t="str">
        <f aca="false">IF(AND($B30=1,$C30=1),IF(coding!$I30=coding!$J30,1,0),"")</f>
        <v/>
      </c>
      <c r="AJ30" s="1" t="str">
        <f aca="false">IF($B30=1,IF(SUMPRODUCT(--(($E30:$M30+$W30:$AE30)&gt;0))=0,1,SUMPRODUCT($E30:$M30,$W30:$AE30)/SUMPRODUCT(--(($E30:$M30+$W30:$AE30)&gt;0))),"")</f>
        <v/>
      </c>
      <c r="AK30" s="1" t="str">
        <f aca="false">IF($C30=1,IF(SUMPRODUCT(--(($N30:$V30+$W30:$AE30)&gt;0))=0,1,SUMPRODUCT($N30:$V30,$W30:$AE30)/SUMPRODUCT(--(($N30:$V30+$W30:$AE30)&gt;0))),"")</f>
        <v/>
      </c>
    </row>
    <row r="31" customFormat="false" ht="15" hidden="false" customHeight="true" outlineLevel="0" collapsed="false">
      <c r="A31" s="1" t="str">
        <f aca="false">coding!$A31</f>
        <v>P030</v>
      </c>
      <c r="B31" s="1" t="n">
        <f aca="false">IF(coding!$I31="",0,1)</f>
        <v>0</v>
      </c>
      <c r="C31" s="1" t="n">
        <f aca="false">IF(coding!$J31="",0,1)</f>
        <v>0</v>
      </c>
      <c r="D31" s="1" t="n">
        <f aca="false">IF(coding!$O31="",0,1)</f>
        <v>1</v>
      </c>
      <c r="E31" s="1" t="n">
        <f aca="false">IF(coding!$I31="",0,IF(ISNUMBER(SEARCH("T1",coding!$I31)),1,0))</f>
        <v>0</v>
      </c>
      <c r="F31" s="1" t="n">
        <f aca="false">IF(coding!$I31="",0,IF(ISNUMBER(SEARCH("T2",coding!$I31)),1,0))</f>
        <v>0</v>
      </c>
      <c r="G31" s="1" t="n">
        <f aca="false">IF(coding!$I31="",0,IF(ISNUMBER(SEARCH("T3",coding!$I31)),1,0))</f>
        <v>0</v>
      </c>
      <c r="H31" s="1" t="n">
        <f aca="false">IF(coding!$I31="",0,IF(ISNUMBER(SEARCH("T4",coding!$I31)),1,0))</f>
        <v>0</v>
      </c>
      <c r="I31" s="1" t="n">
        <f aca="false">IF(coding!$I31="",0,IF(ISNUMBER(SEARCH("T5",coding!$I31)),1,0))</f>
        <v>0</v>
      </c>
      <c r="J31" s="1" t="n">
        <f aca="false">IF(coding!$I31="",0,IF(ISNUMBER(SEARCH("T6",coding!$I31)),1,0))</f>
        <v>0</v>
      </c>
      <c r="K31" s="1" t="n">
        <f aca="false">IF(coding!$I31="",0,IF(ISNUMBER(SEARCH("T7",coding!$I31)),1,0))</f>
        <v>0</v>
      </c>
      <c r="L31" s="1" t="n">
        <f aca="false">IF(coding!$I31="",0,IF(ISNUMBER(SEARCH("T8",coding!$I31)),1,0))</f>
        <v>0</v>
      </c>
      <c r="M31" s="1" t="n">
        <f aca="false">IF(coding!$I31="",0,IF(ISNUMBER(SEARCH("T9",coding!$I31)),1,0))</f>
        <v>0</v>
      </c>
      <c r="N31" s="1" t="n">
        <f aca="false">IF(coding!$J31="",0,IF(ISNUMBER(SEARCH("T1",coding!$J31)),1,0))</f>
        <v>0</v>
      </c>
      <c r="O31" s="1" t="n">
        <f aca="false">IF(coding!$J31="",0,IF(ISNUMBER(SEARCH("T2",coding!$J31)),1,0))</f>
        <v>0</v>
      </c>
      <c r="P31" s="1" t="n">
        <f aca="false">IF(coding!$J31="",0,IF(ISNUMBER(SEARCH("T3",coding!$J31)),1,0))</f>
        <v>0</v>
      </c>
      <c r="Q31" s="1" t="n">
        <f aca="false">IF(coding!$J31="",0,IF(ISNUMBER(SEARCH("T4",coding!$J31)),1,0))</f>
        <v>0</v>
      </c>
      <c r="R31" s="1" t="n">
        <f aca="false">IF(coding!$J31="",0,IF(ISNUMBER(SEARCH("T5",coding!$J31)),1,0))</f>
        <v>0</v>
      </c>
      <c r="S31" s="1" t="n">
        <f aca="false">IF(coding!$J31="",0,IF(ISNUMBER(SEARCH("T6",coding!$J31)),1,0))</f>
        <v>0</v>
      </c>
      <c r="T31" s="1" t="n">
        <f aca="false">IF(coding!$J31="",0,IF(ISNUMBER(SEARCH("T7",coding!$J31)),1,0))</f>
        <v>0</v>
      </c>
      <c r="U31" s="1" t="n">
        <f aca="false">IF(coding!$J31="",0,IF(ISNUMBER(SEARCH("T8",coding!$J31)),1,0))</f>
        <v>0</v>
      </c>
      <c r="V31" s="1" t="n">
        <f aca="false">IF(coding!$J31="",0,IF(ISNUMBER(SEARCH("T9",coding!$J31)),1,0))</f>
        <v>0</v>
      </c>
      <c r="W31" s="1" t="n">
        <f aca="false">IF(coding!$O31="",0,IF(ISNUMBER(SEARCH("T1",coding!$O31)),1,0))</f>
        <v>0</v>
      </c>
      <c r="X31" s="1" t="n">
        <f aca="false">IF(coding!$O31="",0,IF(ISNUMBER(SEARCH("T2",coding!$O31)),1,0))</f>
        <v>0</v>
      </c>
      <c r="Y31" s="1" t="n">
        <f aca="false">IF(coding!$O31="",0,IF(ISNUMBER(SEARCH("T3",coding!$O31)),1,0))</f>
        <v>0</v>
      </c>
      <c r="Z31" s="1" t="n">
        <f aca="false">IF(coding!$O31="",0,IF(ISNUMBER(SEARCH("T4",coding!$O31)),1,0))</f>
        <v>0</v>
      </c>
      <c r="AA31" s="1" t="n">
        <f aca="false">IF(coding!$O31="",0,IF(ISNUMBER(SEARCH("T5",coding!$O31)),1,0))</f>
        <v>0</v>
      </c>
      <c r="AB31" s="1" t="n">
        <f aca="false">IF(coding!$O31="",0,IF(ISNUMBER(SEARCH("T6",coding!$O31)),1,0))</f>
        <v>0</v>
      </c>
      <c r="AC31" s="1" t="n">
        <f aca="false">IF(coding!$O31="",0,IF(ISNUMBER(SEARCH("T7",coding!$O31)),1,0))</f>
        <v>0</v>
      </c>
      <c r="AD31" s="1" t="n">
        <f aca="false">IF(coding!$O31="",0,IF(ISNUMBER(SEARCH("T8",coding!$O31)),1,0))</f>
        <v>0</v>
      </c>
      <c r="AE31" s="1" t="n">
        <f aca="false">IF(coding!$O31="",0,IF(ISNUMBER(SEARCH("T9",coding!$O31)),1,0))</f>
        <v>1</v>
      </c>
      <c r="AF31" s="1" t="n">
        <f aca="false">SUMPRODUCT($E31:$M31,$N31:$V31)</f>
        <v>0</v>
      </c>
      <c r="AG31" s="1" t="n">
        <f aca="false">SUMPRODUCT(--(($E31:$M31+$N31:$V31)&gt;0))</f>
        <v>0</v>
      </c>
      <c r="AH31" s="1" t="str">
        <f aca="false">IF(AND($B31=1,$C31=1),IF($AG31=0,1,$AF31/$AG31),"")</f>
        <v/>
      </c>
      <c r="AI31" s="1" t="str">
        <f aca="false">IF(AND($B31=1,$C31=1),IF(coding!$I31=coding!$J31,1,0),"")</f>
        <v/>
      </c>
      <c r="AJ31" s="1" t="str">
        <f aca="false">IF($B31=1,IF(SUMPRODUCT(--(($E31:$M31+$W31:$AE31)&gt;0))=0,1,SUMPRODUCT($E31:$M31,$W31:$AE31)/SUMPRODUCT(--(($E31:$M31+$W31:$AE31)&gt;0))),"")</f>
        <v/>
      </c>
      <c r="AK31" s="1" t="str">
        <f aca="false">IF($C31=1,IF(SUMPRODUCT(--(($N31:$V31+$W31:$AE31)&gt;0))=0,1,SUMPRODUCT($N31:$V31,$W31:$AE31)/SUMPRODUCT(--(($N31:$V31+$W31:$AE31)&gt;0))),"")</f>
        <v/>
      </c>
    </row>
    <row r="32" customFormat="false" ht="15" hidden="false" customHeight="true" outlineLevel="0" collapsed="false">
      <c r="A32" s="1" t="str">
        <f aca="false">coding!$A32</f>
        <v>P031</v>
      </c>
      <c r="B32" s="1" t="n">
        <f aca="false">IF(coding!$I32="",0,1)</f>
        <v>0</v>
      </c>
      <c r="C32" s="1" t="n">
        <f aca="false">IF(coding!$J32="",0,1)</f>
        <v>0</v>
      </c>
      <c r="D32" s="1" t="n">
        <f aca="false">IF(coding!$O32="",0,1)</f>
        <v>1</v>
      </c>
      <c r="E32" s="1" t="n">
        <f aca="false">IF(coding!$I32="",0,IF(ISNUMBER(SEARCH("T1",coding!$I32)),1,0))</f>
        <v>0</v>
      </c>
      <c r="F32" s="1" t="n">
        <f aca="false">IF(coding!$I32="",0,IF(ISNUMBER(SEARCH("T2",coding!$I32)),1,0))</f>
        <v>0</v>
      </c>
      <c r="G32" s="1" t="n">
        <f aca="false">IF(coding!$I32="",0,IF(ISNUMBER(SEARCH("T3",coding!$I32)),1,0))</f>
        <v>0</v>
      </c>
      <c r="H32" s="1" t="n">
        <f aca="false">IF(coding!$I32="",0,IF(ISNUMBER(SEARCH("T4",coding!$I32)),1,0))</f>
        <v>0</v>
      </c>
      <c r="I32" s="1" t="n">
        <f aca="false">IF(coding!$I32="",0,IF(ISNUMBER(SEARCH("T5",coding!$I32)),1,0))</f>
        <v>0</v>
      </c>
      <c r="J32" s="1" t="n">
        <f aca="false">IF(coding!$I32="",0,IF(ISNUMBER(SEARCH("T6",coding!$I32)),1,0))</f>
        <v>0</v>
      </c>
      <c r="K32" s="1" t="n">
        <f aca="false">IF(coding!$I32="",0,IF(ISNUMBER(SEARCH("T7",coding!$I32)),1,0))</f>
        <v>0</v>
      </c>
      <c r="L32" s="1" t="n">
        <f aca="false">IF(coding!$I32="",0,IF(ISNUMBER(SEARCH("T8",coding!$I32)),1,0))</f>
        <v>0</v>
      </c>
      <c r="M32" s="1" t="n">
        <f aca="false">IF(coding!$I32="",0,IF(ISNUMBER(SEARCH("T9",coding!$I32)),1,0))</f>
        <v>0</v>
      </c>
      <c r="N32" s="1" t="n">
        <f aca="false">IF(coding!$J32="",0,IF(ISNUMBER(SEARCH("T1",coding!$J32)),1,0))</f>
        <v>0</v>
      </c>
      <c r="O32" s="1" t="n">
        <f aca="false">IF(coding!$J32="",0,IF(ISNUMBER(SEARCH("T2",coding!$J32)),1,0))</f>
        <v>0</v>
      </c>
      <c r="P32" s="1" t="n">
        <f aca="false">IF(coding!$J32="",0,IF(ISNUMBER(SEARCH("T3",coding!$J32)),1,0))</f>
        <v>0</v>
      </c>
      <c r="Q32" s="1" t="n">
        <f aca="false">IF(coding!$J32="",0,IF(ISNUMBER(SEARCH("T4",coding!$J32)),1,0))</f>
        <v>0</v>
      </c>
      <c r="R32" s="1" t="n">
        <f aca="false">IF(coding!$J32="",0,IF(ISNUMBER(SEARCH("T5",coding!$J32)),1,0))</f>
        <v>0</v>
      </c>
      <c r="S32" s="1" t="n">
        <f aca="false">IF(coding!$J32="",0,IF(ISNUMBER(SEARCH("T6",coding!$J32)),1,0))</f>
        <v>0</v>
      </c>
      <c r="T32" s="1" t="n">
        <f aca="false">IF(coding!$J32="",0,IF(ISNUMBER(SEARCH("T7",coding!$J32)),1,0))</f>
        <v>0</v>
      </c>
      <c r="U32" s="1" t="n">
        <f aca="false">IF(coding!$J32="",0,IF(ISNUMBER(SEARCH("T8",coding!$J32)),1,0))</f>
        <v>0</v>
      </c>
      <c r="V32" s="1" t="n">
        <f aca="false">IF(coding!$J32="",0,IF(ISNUMBER(SEARCH("T9",coding!$J32)),1,0))</f>
        <v>0</v>
      </c>
      <c r="W32" s="1" t="n">
        <f aca="false">IF(coding!$O32="",0,IF(ISNUMBER(SEARCH("T1",coding!$O32)),1,0))</f>
        <v>1</v>
      </c>
      <c r="X32" s="1" t="n">
        <f aca="false">IF(coding!$O32="",0,IF(ISNUMBER(SEARCH("T2",coding!$O32)),1,0))</f>
        <v>0</v>
      </c>
      <c r="Y32" s="1" t="n">
        <f aca="false">IF(coding!$O32="",0,IF(ISNUMBER(SEARCH("T3",coding!$O32)),1,0))</f>
        <v>0</v>
      </c>
      <c r="Z32" s="1" t="n">
        <f aca="false">IF(coding!$O32="",0,IF(ISNUMBER(SEARCH("T4",coding!$O32)),1,0))</f>
        <v>0</v>
      </c>
      <c r="AA32" s="1" t="n">
        <f aca="false">IF(coding!$O32="",0,IF(ISNUMBER(SEARCH("T5",coding!$O32)),1,0))</f>
        <v>0</v>
      </c>
      <c r="AB32" s="1" t="n">
        <f aca="false">IF(coding!$O32="",0,IF(ISNUMBER(SEARCH("T6",coding!$O32)),1,0))</f>
        <v>0</v>
      </c>
      <c r="AC32" s="1" t="n">
        <f aca="false">IF(coding!$O32="",0,IF(ISNUMBER(SEARCH("T7",coding!$O32)),1,0))</f>
        <v>0</v>
      </c>
      <c r="AD32" s="1" t="n">
        <f aca="false">IF(coding!$O32="",0,IF(ISNUMBER(SEARCH("T8",coding!$O32)),1,0))</f>
        <v>0</v>
      </c>
      <c r="AE32" s="1" t="n">
        <f aca="false">IF(coding!$O32="",0,IF(ISNUMBER(SEARCH("T9",coding!$O32)),1,0))</f>
        <v>0</v>
      </c>
      <c r="AF32" s="1" t="n">
        <f aca="false">SUMPRODUCT($E32:$M32,$N32:$V32)</f>
        <v>0</v>
      </c>
      <c r="AG32" s="1" t="n">
        <f aca="false">SUMPRODUCT(--(($E32:$M32+$N32:$V32)&gt;0))</f>
        <v>0</v>
      </c>
      <c r="AH32" s="1" t="str">
        <f aca="false">IF(AND($B32=1,$C32=1),IF($AG32=0,1,$AF32/$AG32),"")</f>
        <v/>
      </c>
      <c r="AI32" s="1" t="str">
        <f aca="false">IF(AND($B32=1,$C32=1),IF(coding!$I32=coding!$J32,1,0),"")</f>
        <v/>
      </c>
      <c r="AJ32" s="1" t="str">
        <f aca="false">IF($B32=1,IF(SUMPRODUCT(--(($E32:$M32+$W32:$AE32)&gt;0))=0,1,SUMPRODUCT($E32:$M32,$W32:$AE32)/SUMPRODUCT(--(($E32:$M32+$W32:$AE32)&gt;0))),"")</f>
        <v/>
      </c>
      <c r="AK32" s="1" t="str">
        <f aca="false">IF($C32=1,IF(SUMPRODUCT(--(($N32:$V32+$W32:$AE32)&gt;0))=0,1,SUMPRODUCT($N32:$V32,$W32:$AE32)/SUMPRODUCT(--(($N32:$V32+$W32:$AE32)&gt;0))),"")</f>
        <v/>
      </c>
    </row>
    <row r="33" customFormat="false" ht="15" hidden="false" customHeight="true" outlineLevel="0" collapsed="false">
      <c r="A33" s="1" t="str">
        <f aca="false">coding!$A33</f>
        <v>P032</v>
      </c>
      <c r="B33" s="1" t="n">
        <f aca="false">IF(coding!$I33="",0,1)</f>
        <v>0</v>
      </c>
      <c r="C33" s="1" t="n">
        <f aca="false">IF(coding!$J33="",0,1)</f>
        <v>0</v>
      </c>
      <c r="D33" s="1" t="n">
        <f aca="false">IF(coding!$O33="",0,1)</f>
        <v>1</v>
      </c>
      <c r="E33" s="1" t="n">
        <f aca="false">IF(coding!$I33="",0,IF(ISNUMBER(SEARCH("T1",coding!$I33)),1,0))</f>
        <v>0</v>
      </c>
      <c r="F33" s="1" t="n">
        <f aca="false">IF(coding!$I33="",0,IF(ISNUMBER(SEARCH("T2",coding!$I33)),1,0))</f>
        <v>0</v>
      </c>
      <c r="G33" s="1" t="n">
        <f aca="false">IF(coding!$I33="",0,IF(ISNUMBER(SEARCH("T3",coding!$I33)),1,0))</f>
        <v>0</v>
      </c>
      <c r="H33" s="1" t="n">
        <f aca="false">IF(coding!$I33="",0,IF(ISNUMBER(SEARCH("T4",coding!$I33)),1,0))</f>
        <v>0</v>
      </c>
      <c r="I33" s="1" t="n">
        <f aca="false">IF(coding!$I33="",0,IF(ISNUMBER(SEARCH("T5",coding!$I33)),1,0))</f>
        <v>0</v>
      </c>
      <c r="J33" s="1" t="n">
        <f aca="false">IF(coding!$I33="",0,IF(ISNUMBER(SEARCH("T6",coding!$I33)),1,0))</f>
        <v>0</v>
      </c>
      <c r="K33" s="1" t="n">
        <f aca="false">IF(coding!$I33="",0,IF(ISNUMBER(SEARCH("T7",coding!$I33)),1,0))</f>
        <v>0</v>
      </c>
      <c r="L33" s="1" t="n">
        <f aca="false">IF(coding!$I33="",0,IF(ISNUMBER(SEARCH("T8",coding!$I33)),1,0))</f>
        <v>0</v>
      </c>
      <c r="M33" s="1" t="n">
        <f aca="false">IF(coding!$I33="",0,IF(ISNUMBER(SEARCH("T9",coding!$I33)),1,0))</f>
        <v>0</v>
      </c>
      <c r="N33" s="1" t="n">
        <f aca="false">IF(coding!$J33="",0,IF(ISNUMBER(SEARCH("T1",coding!$J33)),1,0))</f>
        <v>0</v>
      </c>
      <c r="O33" s="1" t="n">
        <f aca="false">IF(coding!$J33="",0,IF(ISNUMBER(SEARCH("T2",coding!$J33)),1,0))</f>
        <v>0</v>
      </c>
      <c r="P33" s="1" t="n">
        <f aca="false">IF(coding!$J33="",0,IF(ISNUMBER(SEARCH("T3",coding!$J33)),1,0))</f>
        <v>0</v>
      </c>
      <c r="Q33" s="1" t="n">
        <f aca="false">IF(coding!$J33="",0,IF(ISNUMBER(SEARCH("T4",coding!$J33)),1,0))</f>
        <v>0</v>
      </c>
      <c r="R33" s="1" t="n">
        <f aca="false">IF(coding!$J33="",0,IF(ISNUMBER(SEARCH("T5",coding!$J33)),1,0))</f>
        <v>0</v>
      </c>
      <c r="S33" s="1" t="n">
        <f aca="false">IF(coding!$J33="",0,IF(ISNUMBER(SEARCH("T6",coding!$J33)),1,0))</f>
        <v>0</v>
      </c>
      <c r="T33" s="1" t="n">
        <f aca="false">IF(coding!$J33="",0,IF(ISNUMBER(SEARCH("T7",coding!$J33)),1,0))</f>
        <v>0</v>
      </c>
      <c r="U33" s="1" t="n">
        <f aca="false">IF(coding!$J33="",0,IF(ISNUMBER(SEARCH("T8",coding!$J33)),1,0))</f>
        <v>0</v>
      </c>
      <c r="V33" s="1" t="n">
        <f aca="false">IF(coding!$J33="",0,IF(ISNUMBER(SEARCH("T9",coding!$J33)),1,0))</f>
        <v>0</v>
      </c>
      <c r="W33" s="1" t="n">
        <f aca="false">IF(coding!$O33="",0,IF(ISNUMBER(SEARCH("T1",coding!$O33)),1,0))</f>
        <v>1</v>
      </c>
      <c r="X33" s="1" t="n">
        <f aca="false">IF(coding!$O33="",0,IF(ISNUMBER(SEARCH("T2",coding!$O33)),1,0))</f>
        <v>1</v>
      </c>
      <c r="Y33" s="1" t="n">
        <f aca="false">IF(coding!$O33="",0,IF(ISNUMBER(SEARCH("T3",coding!$O33)),1,0))</f>
        <v>0</v>
      </c>
      <c r="Z33" s="1" t="n">
        <f aca="false">IF(coding!$O33="",0,IF(ISNUMBER(SEARCH("T4",coding!$O33)),1,0))</f>
        <v>0</v>
      </c>
      <c r="AA33" s="1" t="n">
        <f aca="false">IF(coding!$O33="",0,IF(ISNUMBER(SEARCH("T5",coding!$O33)),1,0))</f>
        <v>0</v>
      </c>
      <c r="AB33" s="1" t="n">
        <f aca="false">IF(coding!$O33="",0,IF(ISNUMBER(SEARCH("T6",coding!$O33)),1,0))</f>
        <v>0</v>
      </c>
      <c r="AC33" s="1" t="n">
        <f aca="false">IF(coding!$O33="",0,IF(ISNUMBER(SEARCH("T7",coding!$O33)),1,0))</f>
        <v>0</v>
      </c>
      <c r="AD33" s="1" t="n">
        <f aca="false">IF(coding!$O33="",0,IF(ISNUMBER(SEARCH("T8",coding!$O33)),1,0))</f>
        <v>0</v>
      </c>
      <c r="AE33" s="1" t="n">
        <f aca="false">IF(coding!$O33="",0,IF(ISNUMBER(SEARCH("T9",coding!$O33)),1,0))</f>
        <v>0</v>
      </c>
      <c r="AF33" s="1" t="n">
        <f aca="false">SUMPRODUCT($E33:$M33,$N33:$V33)</f>
        <v>0</v>
      </c>
      <c r="AG33" s="1" t="n">
        <f aca="false">SUMPRODUCT(--(($E33:$M33+$N33:$V33)&gt;0))</f>
        <v>0</v>
      </c>
      <c r="AH33" s="1" t="str">
        <f aca="false">IF(AND($B33=1,$C33=1),IF($AG33=0,1,$AF33/$AG33),"")</f>
        <v/>
      </c>
      <c r="AI33" s="1" t="str">
        <f aca="false">IF(AND($B33=1,$C33=1),IF(coding!$I33=coding!$J33,1,0),"")</f>
        <v/>
      </c>
      <c r="AJ33" s="1" t="str">
        <f aca="false">IF($B33=1,IF(SUMPRODUCT(--(($E33:$M33+$W33:$AE33)&gt;0))=0,1,SUMPRODUCT($E33:$M33,$W33:$AE33)/SUMPRODUCT(--(($E33:$M33+$W33:$AE33)&gt;0))),"")</f>
        <v/>
      </c>
      <c r="AK33" s="1" t="str">
        <f aca="false">IF($C33=1,IF(SUMPRODUCT(--(($N33:$V33+$W33:$AE33)&gt;0))=0,1,SUMPRODUCT($N33:$V33,$W33:$AE33)/SUMPRODUCT(--(($N33:$V33+$W33:$AE33)&gt;0))),"")</f>
        <v/>
      </c>
    </row>
    <row r="34" customFormat="false" ht="15" hidden="false" customHeight="true" outlineLevel="0" collapsed="false">
      <c r="A34" s="1" t="str">
        <f aca="false">coding!$A34</f>
        <v>P033</v>
      </c>
      <c r="B34" s="1" t="n">
        <f aca="false">IF(coding!$I34="",0,1)</f>
        <v>0</v>
      </c>
      <c r="C34" s="1" t="n">
        <f aca="false">IF(coding!$J34="",0,1)</f>
        <v>0</v>
      </c>
      <c r="D34" s="1" t="n">
        <f aca="false">IF(coding!$O34="",0,1)</f>
        <v>1</v>
      </c>
      <c r="E34" s="1" t="n">
        <f aca="false">IF(coding!$I34="",0,IF(ISNUMBER(SEARCH("T1",coding!$I34)),1,0))</f>
        <v>0</v>
      </c>
      <c r="F34" s="1" t="n">
        <f aca="false">IF(coding!$I34="",0,IF(ISNUMBER(SEARCH("T2",coding!$I34)),1,0))</f>
        <v>0</v>
      </c>
      <c r="G34" s="1" t="n">
        <f aca="false">IF(coding!$I34="",0,IF(ISNUMBER(SEARCH("T3",coding!$I34)),1,0))</f>
        <v>0</v>
      </c>
      <c r="H34" s="1" t="n">
        <f aca="false">IF(coding!$I34="",0,IF(ISNUMBER(SEARCH("T4",coding!$I34)),1,0))</f>
        <v>0</v>
      </c>
      <c r="I34" s="1" t="n">
        <f aca="false">IF(coding!$I34="",0,IF(ISNUMBER(SEARCH("T5",coding!$I34)),1,0))</f>
        <v>0</v>
      </c>
      <c r="J34" s="1" t="n">
        <f aca="false">IF(coding!$I34="",0,IF(ISNUMBER(SEARCH("T6",coding!$I34)),1,0))</f>
        <v>0</v>
      </c>
      <c r="K34" s="1" t="n">
        <f aca="false">IF(coding!$I34="",0,IF(ISNUMBER(SEARCH("T7",coding!$I34)),1,0))</f>
        <v>0</v>
      </c>
      <c r="L34" s="1" t="n">
        <f aca="false">IF(coding!$I34="",0,IF(ISNUMBER(SEARCH("T8",coding!$I34)),1,0))</f>
        <v>0</v>
      </c>
      <c r="M34" s="1" t="n">
        <f aca="false">IF(coding!$I34="",0,IF(ISNUMBER(SEARCH("T9",coding!$I34)),1,0))</f>
        <v>0</v>
      </c>
      <c r="N34" s="1" t="n">
        <f aca="false">IF(coding!$J34="",0,IF(ISNUMBER(SEARCH("T1",coding!$J34)),1,0))</f>
        <v>0</v>
      </c>
      <c r="O34" s="1" t="n">
        <f aca="false">IF(coding!$J34="",0,IF(ISNUMBER(SEARCH("T2",coding!$J34)),1,0))</f>
        <v>0</v>
      </c>
      <c r="P34" s="1" t="n">
        <f aca="false">IF(coding!$J34="",0,IF(ISNUMBER(SEARCH("T3",coding!$J34)),1,0))</f>
        <v>0</v>
      </c>
      <c r="Q34" s="1" t="n">
        <f aca="false">IF(coding!$J34="",0,IF(ISNUMBER(SEARCH("T4",coding!$J34)),1,0))</f>
        <v>0</v>
      </c>
      <c r="R34" s="1" t="n">
        <f aca="false">IF(coding!$J34="",0,IF(ISNUMBER(SEARCH("T5",coding!$J34)),1,0))</f>
        <v>0</v>
      </c>
      <c r="S34" s="1" t="n">
        <f aca="false">IF(coding!$J34="",0,IF(ISNUMBER(SEARCH("T6",coding!$J34)),1,0))</f>
        <v>0</v>
      </c>
      <c r="T34" s="1" t="n">
        <f aca="false">IF(coding!$J34="",0,IF(ISNUMBER(SEARCH("T7",coding!$J34)),1,0))</f>
        <v>0</v>
      </c>
      <c r="U34" s="1" t="n">
        <f aca="false">IF(coding!$J34="",0,IF(ISNUMBER(SEARCH("T8",coding!$J34)),1,0))</f>
        <v>0</v>
      </c>
      <c r="V34" s="1" t="n">
        <f aca="false">IF(coding!$J34="",0,IF(ISNUMBER(SEARCH("T9",coding!$J34)),1,0))</f>
        <v>0</v>
      </c>
      <c r="W34" s="1" t="n">
        <f aca="false">IF(coding!$O34="",0,IF(ISNUMBER(SEARCH("T1",coding!$O34)),1,0))</f>
        <v>1</v>
      </c>
      <c r="X34" s="1" t="n">
        <f aca="false">IF(coding!$O34="",0,IF(ISNUMBER(SEARCH("T2",coding!$O34)),1,0))</f>
        <v>1</v>
      </c>
      <c r="Y34" s="1" t="n">
        <f aca="false">IF(coding!$O34="",0,IF(ISNUMBER(SEARCH("T3",coding!$O34)),1,0))</f>
        <v>0</v>
      </c>
      <c r="Z34" s="1" t="n">
        <f aca="false">IF(coding!$O34="",0,IF(ISNUMBER(SEARCH("T4",coding!$O34)),1,0))</f>
        <v>0</v>
      </c>
      <c r="AA34" s="1" t="n">
        <f aca="false">IF(coding!$O34="",0,IF(ISNUMBER(SEARCH("T5",coding!$O34)),1,0))</f>
        <v>0</v>
      </c>
      <c r="AB34" s="1" t="n">
        <f aca="false">IF(coding!$O34="",0,IF(ISNUMBER(SEARCH("T6",coding!$O34)),1,0))</f>
        <v>0</v>
      </c>
      <c r="AC34" s="1" t="n">
        <f aca="false">IF(coding!$O34="",0,IF(ISNUMBER(SEARCH("T7",coding!$O34)),1,0))</f>
        <v>0</v>
      </c>
      <c r="AD34" s="1" t="n">
        <f aca="false">IF(coding!$O34="",0,IF(ISNUMBER(SEARCH("T8",coding!$O34)),1,0))</f>
        <v>0</v>
      </c>
      <c r="AE34" s="1" t="n">
        <f aca="false">IF(coding!$O34="",0,IF(ISNUMBER(SEARCH("T9",coding!$O34)),1,0))</f>
        <v>0</v>
      </c>
      <c r="AF34" s="1" t="n">
        <f aca="false">SUMPRODUCT($E34:$M34,$N34:$V34)</f>
        <v>0</v>
      </c>
      <c r="AG34" s="1" t="n">
        <f aca="false">SUMPRODUCT(--(($E34:$M34+$N34:$V34)&gt;0))</f>
        <v>0</v>
      </c>
      <c r="AH34" s="1" t="str">
        <f aca="false">IF(AND($B34=1,$C34=1),IF($AG34=0,1,$AF34/$AG34),"")</f>
        <v/>
      </c>
      <c r="AI34" s="1" t="str">
        <f aca="false">IF(AND($B34=1,$C34=1),IF(coding!$I34=coding!$J34,1,0),"")</f>
        <v/>
      </c>
      <c r="AJ34" s="1" t="str">
        <f aca="false">IF($B34=1,IF(SUMPRODUCT(--(($E34:$M34+$W34:$AE34)&gt;0))=0,1,SUMPRODUCT($E34:$M34,$W34:$AE34)/SUMPRODUCT(--(($E34:$M34+$W34:$AE34)&gt;0))),"")</f>
        <v/>
      </c>
      <c r="AK34" s="1" t="str">
        <f aca="false">IF($C34=1,IF(SUMPRODUCT(--(($N34:$V34+$W34:$AE34)&gt;0))=0,1,SUMPRODUCT($N34:$V34,$W34:$AE34)/SUMPRODUCT(--(($N34:$V34+$W34:$AE34)&gt;0))),"")</f>
        <v/>
      </c>
    </row>
    <row r="35" customFormat="false" ht="15" hidden="false" customHeight="true" outlineLevel="0" collapsed="false">
      <c r="A35" s="1" t="str">
        <f aca="false">coding!$A35</f>
        <v>P034</v>
      </c>
      <c r="B35" s="1" t="n">
        <f aca="false">IF(coding!$I35="",0,1)</f>
        <v>0</v>
      </c>
      <c r="C35" s="1" t="n">
        <f aca="false">IF(coding!$J35="",0,1)</f>
        <v>0</v>
      </c>
      <c r="D35" s="1" t="n">
        <f aca="false">IF(coding!$O35="",0,1)</f>
        <v>1</v>
      </c>
      <c r="E35" s="1" t="n">
        <f aca="false">IF(coding!$I35="",0,IF(ISNUMBER(SEARCH("T1",coding!$I35)),1,0))</f>
        <v>0</v>
      </c>
      <c r="F35" s="1" t="n">
        <f aca="false">IF(coding!$I35="",0,IF(ISNUMBER(SEARCH("T2",coding!$I35)),1,0))</f>
        <v>0</v>
      </c>
      <c r="G35" s="1" t="n">
        <f aca="false">IF(coding!$I35="",0,IF(ISNUMBER(SEARCH("T3",coding!$I35)),1,0))</f>
        <v>0</v>
      </c>
      <c r="H35" s="1" t="n">
        <f aca="false">IF(coding!$I35="",0,IF(ISNUMBER(SEARCH("T4",coding!$I35)),1,0))</f>
        <v>0</v>
      </c>
      <c r="I35" s="1" t="n">
        <f aca="false">IF(coding!$I35="",0,IF(ISNUMBER(SEARCH("T5",coding!$I35)),1,0))</f>
        <v>0</v>
      </c>
      <c r="J35" s="1" t="n">
        <f aca="false">IF(coding!$I35="",0,IF(ISNUMBER(SEARCH("T6",coding!$I35)),1,0))</f>
        <v>0</v>
      </c>
      <c r="K35" s="1" t="n">
        <f aca="false">IF(coding!$I35="",0,IF(ISNUMBER(SEARCH("T7",coding!$I35)),1,0))</f>
        <v>0</v>
      </c>
      <c r="L35" s="1" t="n">
        <f aca="false">IF(coding!$I35="",0,IF(ISNUMBER(SEARCH("T8",coding!$I35)),1,0))</f>
        <v>0</v>
      </c>
      <c r="M35" s="1" t="n">
        <f aca="false">IF(coding!$I35="",0,IF(ISNUMBER(SEARCH("T9",coding!$I35)),1,0))</f>
        <v>0</v>
      </c>
      <c r="N35" s="1" t="n">
        <f aca="false">IF(coding!$J35="",0,IF(ISNUMBER(SEARCH("T1",coding!$J35)),1,0))</f>
        <v>0</v>
      </c>
      <c r="O35" s="1" t="n">
        <f aca="false">IF(coding!$J35="",0,IF(ISNUMBER(SEARCH("T2",coding!$J35)),1,0))</f>
        <v>0</v>
      </c>
      <c r="P35" s="1" t="n">
        <f aca="false">IF(coding!$J35="",0,IF(ISNUMBER(SEARCH("T3",coding!$J35)),1,0))</f>
        <v>0</v>
      </c>
      <c r="Q35" s="1" t="n">
        <f aca="false">IF(coding!$J35="",0,IF(ISNUMBER(SEARCH("T4",coding!$J35)),1,0))</f>
        <v>0</v>
      </c>
      <c r="R35" s="1" t="n">
        <f aca="false">IF(coding!$J35="",0,IF(ISNUMBER(SEARCH("T5",coding!$J35)),1,0))</f>
        <v>0</v>
      </c>
      <c r="S35" s="1" t="n">
        <f aca="false">IF(coding!$J35="",0,IF(ISNUMBER(SEARCH("T6",coding!$J35)),1,0))</f>
        <v>0</v>
      </c>
      <c r="T35" s="1" t="n">
        <f aca="false">IF(coding!$J35="",0,IF(ISNUMBER(SEARCH("T7",coding!$J35)),1,0))</f>
        <v>0</v>
      </c>
      <c r="U35" s="1" t="n">
        <f aca="false">IF(coding!$J35="",0,IF(ISNUMBER(SEARCH("T8",coding!$J35)),1,0))</f>
        <v>0</v>
      </c>
      <c r="V35" s="1" t="n">
        <f aca="false">IF(coding!$J35="",0,IF(ISNUMBER(SEARCH("T9",coding!$J35)),1,0))</f>
        <v>0</v>
      </c>
      <c r="W35" s="1" t="n">
        <f aca="false">IF(coding!$O35="",0,IF(ISNUMBER(SEARCH("T1",coding!$O35)),1,0))</f>
        <v>1</v>
      </c>
      <c r="X35" s="1" t="n">
        <f aca="false">IF(coding!$O35="",0,IF(ISNUMBER(SEARCH("T2",coding!$O35)),1,0))</f>
        <v>1</v>
      </c>
      <c r="Y35" s="1" t="n">
        <f aca="false">IF(coding!$O35="",0,IF(ISNUMBER(SEARCH("T3",coding!$O35)),1,0))</f>
        <v>0</v>
      </c>
      <c r="Z35" s="1" t="n">
        <f aca="false">IF(coding!$O35="",0,IF(ISNUMBER(SEARCH("T4",coding!$O35)),1,0))</f>
        <v>0</v>
      </c>
      <c r="AA35" s="1" t="n">
        <f aca="false">IF(coding!$O35="",0,IF(ISNUMBER(SEARCH("T5",coding!$O35)),1,0))</f>
        <v>0</v>
      </c>
      <c r="AB35" s="1" t="n">
        <f aca="false">IF(coding!$O35="",0,IF(ISNUMBER(SEARCH("T6",coding!$O35)),1,0))</f>
        <v>0</v>
      </c>
      <c r="AC35" s="1" t="n">
        <f aca="false">IF(coding!$O35="",0,IF(ISNUMBER(SEARCH("T7",coding!$O35)),1,0))</f>
        <v>0</v>
      </c>
      <c r="AD35" s="1" t="n">
        <f aca="false">IF(coding!$O35="",0,IF(ISNUMBER(SEARCH("T8",coding!$O35)),1,0))</f>
        <v>0</v>
      </c>
      <c r="AE35" s="1" t="n">
        <f aca="false">IF(coding!$O35="",0,IF(ISNUMBER(SEARCH("T9",coding!$O35)),1,0))</f>
        <v>0</v>
      </c>
      <c r="AF35" s="1" t="n">
        <f aca="false">SUMPRODUCT($E35:$M35,$N35:$V35)</f>
        <v>0</v>
      </c>
      <c r="AG35" s="1" t="n">
        <f aca="false">SUMPRODUCT(--(($E35:$M35+$N35:$V35)&gt;0))</f>
        <v>0</v>
      </c>
      <c r="AH35" s="1" t="str">
        <f aca="false">IF(AND($B35=1,$C35=1),IF($AG35=0,1,$AF35/$AG35),"")</f>
        <v/>
      </c>
      <c r="AI35" s="1" t="str">
        <f aca="false">IF(AND($B35=1,$C35=1),IF(coding!$I35=coding!$J35,1,0),"")</f>
        <v/>
      </c>
      <c r="AJ35" s="1" t="str">
        <f aca="false">IF($B35=1,IF(SUMPRODUCT(--(($E35:$M35+$W35:$AE35)&gt;0))=0,1,SUMPRODUCT($E35:$M35,$W35:$AE35)/SUMPRODUCT(--(($E35:$M35+$W35:$AE35)&gt;0))),"")</f>
        <v/>
      </c>
      <c r="AK35" s="1" t="str">
        <f aca="false">IF($C35=1,IF(SUMPRODUCT(--(($N35:$V35+$W35:$AE35)&gt;0))=0,1,SUMPRODUCT($N35:$V35,$W35:$AE35)/SUMPRODUCT(--(($N35:$V35+$W35:$AE35)&gt;0))),"")</f>
        <v/>
      </c>
    </row>
    <row r="36" customFormat="false" ht="15" hidden="false" customHeight="true" outlineLevel="0" collapsed="false">
      <c r="A36" s="1" t="str">
        <f aca="false">coding!$A36</f>
        <v>P035</v>
      </c>
      <c r="B36" s="1" t="n">
        <f aca="false">IF(coding!$I36="",0,1)</f>
        <v>0</v>
      </c>
      <c r="C36" s="1" t="n">
        <f aca="false">IF(coding!$J36="",0,1)</f>
        <v>0</v>
      </c>
      <c r="D36" s="1" t="n">
        <f aca="false">IF(coding!$O36="",0,1)</f>
        <v>1</v>
      </c>
      <c r="E36" s="1" t="n">
        <f aca="false">IF(coding!$I36="",0,IF(ISNUMBER(SEARCH("T1",coding!$I36)),1,0))</f>
        <v>0</v>
      </c>
      <c r="F36" s="1" t="n">
        <f aca="false">IF(coding!$I36="",0,IF(ISNUMBER(SEARCH("T2",coding!$I36)),1,0))</f>
        <v>0</v>
      </c>
      <c r="G36" s="1" t="n">
        <f aca="false">IF(coding!$I36="",0,IF(ISNUMBER(SEARCH("T3",coding!$I36)),1,0))</f>
        <v>0</v>
      </c>
      <c r="H36" s="1" t="n">
        <f aca="false">IF(coding!$I36="",0,IF(ISNUMBER(SEARCH("T4",coding!$I36)),1,0))</f>
        <v>0</v>
      </c>
      <c r="I36" s="1" t="n">
        <f aca="false">IF(coding!$I36="",0,IF(ISNUMBER(SEARCH("T5",coding!$I36)),1,0))</f>
        <v>0</v>
      </c>
      <c r="J36" s="1" t="n">
        <f aca="false">IF(coding!$I36="",0,IF(ISNUMBER(SEARCH("T6",coding!$I36)),1,0))</f>
        <v>0</v>
      </c>
      <c r="K36" s="1" t="n">
        <f aca="false">IF(coding!$I36="",0,IF(ISNUMBER(SEARCH("T7",coding!$I36)),1,0))</f>
        <v>0</v>
      </c>
      <c r="L36" s="1" t="n">
        <f aca="false">IF(coding!$I36="",0,IF(ISNUMBER(SEARCH("T8",coding!$I36)),1,0))</f>
        <v>0</v>
      </c>
      <c r="M36" s="1" t="n">
        <f aca="false">IF(coding!$I36="",0,IF(ISNUMBER(SEARCH("T9",coding!$I36)),1,0))</f>
        <v>0</v>
      </c>
      <c r="N36" s="1" t="n">
        <f aca="false">IF(coding!$J36="",0,IF(ISNUMBER(SEARCH("T1",coding!$J36)),1,0))</f>
        <v>0</v>
      </c>
      <c r="O36" s="1" t="n">
        <f aca="false">IF(coding!$J36="",0,IF(ISNUMBER(SEARCH("T2",coding!$J36)),1,0))</f>
        <v>0</v>
      </c>
      <c r="P36" s="1" t="n">
        <f aca="false">IF(coding!$J36="",0,IF(ISNUMBER(SEARCH("T3",coding!$J36)),1,0))</f>
        <v>0</v>
      </c>
      <c r="Q36" s="1" t="n">
        <f aca="false">IF(coding!$J36="",0,IF(ISNUMBER(SEARCH("T4",coding!$J36)),1,0))</f>
        <v>0</v>
      </c>
      <c r="R36" s="1" t="n">
        <f aca="false">IF(coding!$J36="",0,IF(ISNUMBER(SEARCH("T5",coding!$J36)),1,0))</f>
        <v>0</v>
      </c>
      <c r="S36" s="1" t="n">
        <f aca="false">IF(coding!$J36="",0,IF(ISNUMBER(SEARCH("T6",coding!$J36)),1,0))</f>
        <v>0</v>
      </c>
      <c r="T36" s="1" t="n">
        <f aca="false">IF(coding!$J36="",0,IF(ISNUMBER(SEARCH("T7",coding!$J36)),1,0))</f>
        <v>0</v>
      </c>
      <c r="U36" s="1" t="n">
        <f aca="false">IF(coding!$J36="",0,IF(ISNUMBER(SEARCH("T8",coding!$J36)),1,0))</f>
        <v>0</v>
      </c>
      <c r="V36" s="1" t="n">
        <f aca="false">IF(coding!$J36="",0,IF(ISNUMBER(SEARCH("T9",coding!$J36)),1,0))</f>
        <v>0</v>
      </c>
      <c r="W36" s="1" t="n">
        <f aca="false">IF(coding!$O36="",0,IF(ISNUMBER(SEARCH("T1",coding!$O36)),1,0))</f>
        <v>1</v>
      </c>
      <c r="X36" s="1" t="n">
        <f aca="false">IF(coding!$O36="",0,IF(ISNUMBER(SEARCH("T2",coding!$O36)),1,0))</f>
        <v>0</v>
      </c>
      <c r="Y36" s="1" t="n">
        <f aca="false">IF(coding!$O36="",0,IF(ISNUMBER(SEARCH("T3",coding!$O36)),1,0))</f>
        <v>0</v>
      </c>
      <c r="Z36" s="1" t="n">
        <f aca="false">IF(coding!$O36="",0,IF(ISNUMBER(SEARCH("T4",coding!$O36)),1,0))</f>
        <v>0</v>
      </c>
      <c r="AA36" s="1" t="n">
        <f aca="false">IF(coding!$O36="",0,IF(ISNUMBER(SEARCH("T5",coding!$O36)),1,0))</f>
        <v>1</v>
      </c>
      <c r="AB36" s="1" t="n">
        <f aca="false">IF(coding!$O36="",0,IF(ISNUMBER(SEARCH("T6",coding!$O36)),1,0))</f>
        <v>0</v>
      </c>
      <c r="AC36" s="1" t="n">
        <f aca="false">IF(coding!$O36="",0,IF(ISNUMBER(SEARCH("T7",coding!$O36)),1,0))</f>
        <v>0</v>
      </c>
      <c r="AD36" s="1" t="n">
        <f aca="false">IF(coding!$O36="",0,IF(ISNUMBER(SEARCH("T8",coding!$O36)),1,0))</f>
        <v>0</v>
      </c>
      <c r="AE36" s="1" t="n">
        <f aca="false">IF(coding!$O36="",0,IF(ISNUMBER(SEARCH("T9",coding!$O36)),1,0))</f>
        <v>0</v>
      </c>
      <c r="AF36" s="1" t="n">
        <f aca="false">SUMPRODUCT($E36:$M36,$N36:$V36)</f>
        <v>0</v>
      </c>
      <c r="AG36" s="1" t="n">
        <f aca="false">SUMPRODUCT(--(($E36:$M36+$N36:$V36)&gt;0))</f>
        <v>0</v>
      </c>
      <c r="AH36" s="1" t="str">
        <f aca="false">IF(AND($B36=1,$C36=1),IF($AG36=0,1,$AF36/$AG36),"")</f>
        <v/>
      </c>
      <c r="AI36" s="1" t="str">
        <f aca="false">IF(AND($B36=1,$C36=1),IF(coding!$I36=coding!$J36,1,0),"")</f>
        <v/>
      </c>
      <c r="AJ36" s="1" t="str">
        <f aca="false">IF($B36=1,IF(SUMPRODUCT(--(($E36:$M36+$W36:$AE36)&gt;0))=0,1,SUMPRODUCT($E36:$M36,$W36:$AE36)/SUMPRODUCT(--(($E36:$M36+$W36:$AE36)&gt;0))),"")</f>
        <v/>
      </c>
      <c r="AK36" s="1" t="str">
        <f aca="false">IF($C36=1,IF(SUMPRODUCT(--(($N36:$V36+$W36:$AE36)&gt;0))=0,1,SUMPRODUCT($N36:$V36,$W36:$AE36)/SUMPRODUCT(--(($N36:$V36+$W36:$AE36)&gt;0))),"")</f>
        <v/>
      </c>
    </row>
    <row r="37" customFormat="false" ht="15" hidden="false" customHeight="true" outlineLevel="0" collapsed="false">
      <c r="A37" s="1" t="str">
        <f aca="false">coding!$A37</f>
        <v>P036</v>
      </c>
      <c r="B37" s="1" t="n">
        <f aca="false">IF(coding!$I37="",0,1)</f>
        <v>0</v>
      </c>
      <c r="C37" s="1" t="n">
        <f aca="false">IF(coding!$J37="",0,1)</f>
        <v>0</v>
      </c>
      <c r="D37" s="1" t="n">
        <f aca="false">IF(coding!$O37="",0,1)</f>
        <v>1</v>
      </c>
      <c r="E37" s="1" t="n">
        <f aca="false">IF(coding!$I37="",0,IF(ISNUMBER(SEARCH("T1",coding!$I37)),1,0))</f>
        <v>0</v>
      </c>
      <c r="F37" s="1" t="n">
        <f aca="false">IF(coding!$I37="",0,IF(ISNUMBER(SEARCH("T2",coding!$I37)),1,0))</f>
        <v>0</v>
      </c>
      <c r="G37" s="1" t="n">
        <f aca="false">IF(coding!$I37="",0,IF(ISNUMBER(SEARCH("T3",coding!$I37)),1,0))</f>
        <v>0</v>
      </c>
      <c r="H37" s="1" t="n">
        <f aca="false">IF(coding!$I37="",0,IF(ISNUMBER(SEARCH("T4",coding!$I37)),1,0))</f>
        <v>0</v>
      </c>
      <c r="I37" s="1" t="n">
        <f aca="false">IF(coding!$I37="",0,IF(ISNUMBER(SEARCH("T5",coding!$I37)),1,0))</f>
        <v>0</v>
      </c>
      <c r="J37" s="1" t="n">
        <f aca="false">IF(coding!$I37="",0,IF(ISNUMBER(SEARCH("T6",coding!$I37)),1,0))</f>
        <v>0</v>
      </c>
      <c r="K37" s="1" t="n">
        <f aca="false">IF(coding!$I37="",0,IF(ISNUMBER(SEARCH("T7",coding!$I37)),1,0))</f>
        <v>0</v>
      </c>
      <c r="L37" s="1" t="n">
        <f aca="false">IF(coding!$I37="",0,IF(ISNUMBER(SEARCH("T8",coding!$I37)),1,0))</f>
        <v>0</v>
      </c>
      <c r="M37" s="1" t="n">
        <f aca="false">IF(coding!$I37="",0,IF(ISNUMBER(SEARCH("T9",coding!$I37)),1,0))</f>
        <v>0</v>
      </c>
      <c r="N37" s="1" t="n">
        <f aca="false">IF(coding!$J37="",0,IF(ISNUMBER(SEARCH("T1",coding!$J37)),1,0))</f>
        <v>0</v>
      </c>
      <c r="O37" s="1" t="n">
        <f aca="false">IF(coding!$J37="",0,IF(ISNUMBER(SEARCH("T2",coding!$J37)),1,0))</f>
        <v>0</v>
      </c>
      <c r="P37" s="1" t="n">
        <f aca="false">IF(coding!$J37="",0,IF(ISNUMBER(SEARCH("T3",coding!$J37)),1,0))</f>
        <v>0</v>
      </c>
      <c r="Q37" s="1" t="n">
        <f aca="false">IF(coding!$J37="",0,IF(ISNUMBER(SEARCH("T4",coding!$J37)),1,0))</f>
        <v>0</v>
      </c>
      <c r="R37" s="1" t="n">
        <f aca="false">IF(coding!$J37="",0,IF(ISNUMBER(SEARCH("T5",coding!$J37)),1,0))</f>
        <v>0</v>
      </c>
      <c r="S37" s="1" t="n">
        <f aca="false">IF(coding!$J37="",0,IF(ISNUMBER(SEARCH("T6",coding!$J37)),1,0))</f>
        <v>0</v>
      </c>
      <c r="T37" s="1" t="n">
        <f aca="false">IF(coding!$J37="",0,IF(ISNUMBER(SEARCH("T7",coding!$J37)),1,0))</f>
        <v>0</v>
      </c>
      <c r="U37" s="1" t="n">
        <f aca="false">IF(coding!$J37="",0,IF(ISNUMBER(SEARCH("T8",coding!$J37)),1,0))</f>
        <v>0</v>
      </c>
      <c r="V37" s="1" t="n">
        <f aca="false">IF(coding!$J37="",0,IF(ISNUMBER(SEARCH("T9",coding!$J37)),1,0))</f>
        <v>0</v>
      </c>
      <c r="W37" s="1" t="n">
        <f aca="false">IF(coding!$O37="",0,IF(ISNUMBER(SEARCH("T1",coding!$O37)),1,0))</f>
        <v>1</v>
      </c>
      <c r="X37" s="1" t="n">
        <f aca="false">IF(coding!$O37="",0,IF(ISNUMBER(SEARCH("T2",coding!$O37)),1,0))</f>
        <v>0</v>
      </c>
      <c r="Y37" s="1" t="n">
        <f aca="false">IF(coding!$O37="",0,IF(ISNUMBER(SEARCH("T3",coding!$O37)),1,0))</f>
        <v>0</v>
      </c>
      <c r="Z37" s="1" t="n">
        <f aca="false">IF(coding!$O37="",0,IF(ISNUMBER(SEARCH("T4",coding!$O37)),1,0))</f>
        <v>1</v>
      </c>
      <c r="AA37" s="1" t="n">
        <f aca="false">IF(coding!$O37="",0,IF(ISNUMBER(SEARCH("T5",coding!$O37)),1,0))</f>
        <v>0</v>
      </c>
      <c r="AB37" s="1" t="n">
        <f aca="false">IF(coding!$O37="",0,IF(ISNUMBER(SEARCH("T6",coding!$O37)),1,0))</f>
        <v>0</v>
      </c>
      <c r="AC37" s="1" t="n">
        <f aca="false">IF(coding!$O37="",0,IF(ISNUMBER(SEARCH("T7",coding!$O37)),1,0))</f>
        <v>0</v>
      </c>
      <c r="AD37" s="1" t="n">
        <f aca="false">IF(coding!$O37="",0,IF(ISNUMBER(SEARCH("T8",coding!$O37)),1,0))</f>
        <v>1</v>
      </c>
      <c r="AE37" s="1" t="n">
        <f aca="false">IF(coding!$O37="",0,IF(ISNUMBER(SEARCH("T9",coding!$O37)),1,0))</f>
        <v>0</v>
      </c>
      <c r="AF37" s="1" t="n">
        <f aca="false">SUMPRODUCT($E37:$M37,$N37:$V37)</f>
        <v>0</v>
      </c>
      <c r="AG37" s="1" t="n">
        <f aca="false">SUMPRODUCT(--(($E37:$M37+$N37:$V37)&gt;0))</f>
        <v>0</v>
      </c>
      <c r="AH37" s="1" t="str">
        <f aca="false">IF(AND($B37=1,$C37=1),IF($AG37=0,1,$AF37/$AG37),"")</f>
        <v/>
      </c>
      <c r="AI37" s="1" t="str">
        <f aca="false">IF(AND($B37=1,$C37=1),IF(coding!$I37=coding!$J37,1,0),"")</f>
        <v/>
      </c>
      <c r="AJ37" s="1" t="str">
        <f aca="false">IF($B37=1,IF(SUMPRODUCT(--(($E37:$M37+$W37:$AE37)&gt;0))=0,1,SUMPRODUCT($E37:$M37,$W37:$AE37)/SUMPRODUCT(--(($E37:$M37+$W37:$AE37)&gt;0))),"")</f>
        <v/>
      </c>
      <c r="AK37" s="1" t="str">
        <f aca="false">IF($C37=1,IF(SUMPRODUCT(--(($N37:$V37+$W37:$AE37)&gt;0))=0,1,SUMPRODUCT($N37:$V37,$W37:$AE37)/SUMPRODUCT(--(($N37:$V37+$W37:$AE37)&gt;0))),"")</f>
        <v/>
      </c>
    </row>
    <row r="38" customFormat="false" ht="15" hidden="false" customHeight="true" outlineLevel="0" collapsed="false">
      <c r="A38" s="1" t="str">
        <f aca="false">coding!$A38</f>
        <v>P037</v>
      </c>
      <c r="B38" s="1" t="n">
        <f aca="false">IF(coding!$I38="",0,1)</f>
        <v>0</v>
      </c>
      <c r="C38" s="1" t="n">
        <f aca="false">IF(coding!$J38="",0,1)</f>
        <v>0</v>
      </c>
      <c r="D38" s="1" t="n">
        <f aca="false">IF(coding!$O38="",0,1)</f>
        <v>1</v>
      </c>
      <c r="E38" s="1" t="n">
        <f aca="false">IF(coding!$I38="",0,IF(ISNUMBER(SEARCH("T1",coding!$I38)),1,0))</f>
        <v>0</v>
      </c>
      <c r="F38" s="1" t="n">
        <f aca="false">IF(coding!$I38="",0,IF(ISNUMBER(SEARCH("T2",coding!$I38)),1,0))</f>
        <v>0</v>
      </c>
      <c r="G38" s="1" t="n">
        <f aca="false">IF(coding!$I38="",0,IF(ISNUMBER(SEARCH("T3",coding!$I38)),1,0))</f>
        <v>0</v>
      </c>
      <c r="H38" s="1" t="n">
        <f aca="false">IF(coding!$I38="",0,IF(ISNUMBER(SEARCH("T4",coding!$I38)),1,0))</f>
        <v>0</v>
      </c>
      <c r="I38" s="1" t="n">
        <f aca="false">IF(coding!$I38="",0,IF(ISNUMBER(SEARCH("T5",coding!$I38)),1,0))</f>
        <v>0</v>
      </c>
      <c r="J38" s="1" t="n">
        <f aca="false">IF(coding!$I38="",0,IF(ISNUMBER(SEARCH("T6",coding!$I38)),1,0))</f>
        <v>0</v>
      </c>
      <c r="K38" s="1" t="n">
        <f aca="false">IF(coding!$I38="",0,IF(ISNUMBER(SEARCH("T7",coding!$I38)),1,0))</f>
        <v>0</v>
      </c>
      <c r="L38" s="1" t="n">
        <f aca="false">IF(coding!$I38="",0,IF(ISNUMBER(SEARCH("T8",coding!$I38)),1,0))</f>
        <v>0</v>
      </c>
      <c r="M38" s="1" t="n">
        <f aca="false">IF(coding!$I38="",0,IF(ISNUMBER(SEARCH("T9",coding!$I38)),1,0))</f>
        <v>0</v>
      </c>
      <c r="N38" s="1" t="n">
        <f aca="false">IF(coding!$J38="",0,IF(ISNUMBER(SEARCH("T1",coding!$J38)),1,0))</f>
        <v>0</v>
      </c>
      <c r="O38" s="1" t="n">
        <f aca="false">IF(coding!$J38="",0,IF(ISNUMBER(SEARCH("T2",coding!$J38)),1,0))</f>
        <v>0</v>
      </c>
      <c r="P38" s="1" t="n">
        <f aca="false">IF(coding!$J38="",0,IF(ISNUMBER(SEARCH("T3",coding!$J38)),1,0))</f>
        <v>0</v>
      </c>
      <c r="Q38" s="1" t="n">
        <f aca="false">IF(coding!$J38="",0,IF(ISNUMBER(SEARCH("T4",coding!$J38)),1,0))</f>
        <v>0</v>
      </c>
      <c r="R38" s="1" t="n">
        <f aca="false">IF(coding!$J38="",0,IF(ISNUMBER(SEARCH("T5",coding!$J38)),1,0))</f>
        <v>0</v>
      </c>
      <c r="S38" s="1" t="n">
        <f aca="false">IF(coding!$J38="",0,IF(ISNUMBER(SEARCH("T6",coding!$J38)),1,0))</f>
        <v>0</v>
      </c>
      <c r="T38" s="1" t="n">
        <f aca="false">IF(coding!$J38="",0,IF(ISNUMBER(SEARCH("T7",coding!$J38)),1,0))</f>
        <v>0</v>
      </c>
      <c r="U38" s="1" t="n">
        <f aca="false">IF(coding!$J38="",0,IF(ISNUMBER(SEARCH("T8",coding!$J38)),1,0))</f>
        <v>0</v>
      </c>
      <c r="V38" s="1" t="n">
        <f aca="false">IF(coding!$J38="",0,IF(ISNUMBER(SEARCH("T9",coding!$J38)),1,0))</f>
        <v>0</v>
      </c>
      <c r="W38" s="1" t="n">
        <f aca="false">IF(coding!$O38="",0,IF(ISNUMBER(SEARCH("T1",coding!$O38)),1,0))</f>
        <v>1</v>
      </c>
      <c r="X38" s="1" t="n">
        <f aca="false">IF(coding!$O38="",0,IF(ISNUMBER(SEARCH("T2",coding!$O38)),1,0))</f>
        <v>0</v>
      </c>
      <c r="Y38" s="1" t="n">
        <f aca="false">IF(coding!$O38="",0,IF(ISNUMBER(SEARCH("T3",coding!$O38)),1,0))</f>
        <v>0</v>
      </c>
      <c r="Z38" s="1" t="n">
        <f aca="false">IF(coding!$O38="",0,IF(ISNUMBER(SEARCH("T4",coding!$O38)),1,0))</f>
        <v>0</v>
      </c>
      <c r="AA38" s="1" t="n">
        <f aca="false">IF(coding!$O38="",0,IF(ISNUMBER(SEARCH("T5",coding!$O38)),1,0))</f>
        <v>0</v>
      </c>
      <c r="AB38" s="1" t="n">
        <f aca="false">IF(coding!$O38="",0,IF(ISNUMBER(SEARCH("T6",coding!$O38)),1,0))</f>
        <v>0</v>
      </c>
      <c r="AC38" s="1" t="n">
        <f aca="false">IF(coding!$O38="",0,IF(ISNUMBER(SEARCH("T7",coding!$O38)),1,0))</f>
        <v>0</v>
      </c>
      <c r="AD38" s="1" t="n">
        <f aca="false">IF(coding!$O38="",0,IF(ISNUMBER(SEARCH("T8",coding!$O38)),1,0))</f>
        <v>0</v>
      </c>
      <c r="AE38" s="1" t="n">
        <f aca="false">IF(coding!$O38="",0,IF(ISNUMBER(SEARCH("T9",coding!$O38)),1,0))</f>
        <v>0</v>
      </c>
      <c r="AF38" s="1" t="n">
        <f aca="false">SUMPRODUCT($E38:$M38,$N38:$V38)</f>
        <v>0</v>
      </c>
      <c r="AG38" s="1" t="n">
        <f aca="false">SUMPRODUCT(--(($E38:$M38+$N38:$V38)&gt;0))</f>
        <v>0</v>
      </c>
      <c r="AH38" s="1" t="str">
        <f aca="false">IF(AND($B38=1,$C38=1),IF($AG38=0,1,$AF38/$AG38),"")</f>
        <v/>
      </c>
      <c r="AI38" s="1" t="str">
        <f aca="false">IF(AND($B38=1,$C38=1),IF(coding!$I38=coding!$J38,1,0),"")</f>
        <v/>
      </c>
      <c r="AJ38" s="1" t="str">
        <f aca="false">IF($B38=1,IF(SUMPRODUCT(--(($E38:$M38+$W38:$AE38)&gt;0))=0,1,SUMPRODUCT($E38:$M38,$W38:$AE38)/SUMPRODUCT(--(($E38:$M38+$W38:$AE38)&gt;0))),"")</f>
        <v/>
      </c>
      <c r="AK38" s="1" t="str">
        <f aca="false">IF($C38=1,IF(SUMPRODUCT(--(($N38:$V38+$W38:$AE38)&gt;0))=0,1,SUMPRODUCT($N38:$V38,$W38:$AE38)/SUMPRODUCT(--(($N38:$V38+$W38:$AE38)&gt;0))),"")</f>
        <v/>
      </c>
    </row>
    <row r="39" customFormat="false" ht="15" hidden="false" customHeight="true" outlineLevel="0" collapsed="false">
      <c r="A39" s="1" t="str">
        <f aca="false">coding!$A39</f>
        <v>P038</v>
      </c>
      <c r="B39" s="1" t="n">
        <f aca="false">IF(coding!$I39="",0,1)</f>
        <v>0</v>
      </c>
      <c r="C39" s="1" t="n">
        <f aca="false">IF(coding!$J39="",0,1)</f>
        <v>0</v>
      </c>
      <c r="D39" s="1" t="n">
        <f aca="false">IF(coding!$O39="",0,1)</f>
        <v>1</v>
      </c>
      <c r="E39" s="1" t="n">
        <f aca="false">IF(coding!$I39="",0,IF(ISNUMBER(SEARCH("T1",coding!$I39)),1,0))</f>
        <v>0</v>
      </c>
      <c r="F39" s="1" t="n">
        <f aca="false">IF(coding!$I39="",0,IF(ISNUMBER(SEARCH("T2",coding!$I39)),1,0))</f>
        <v>0</v>
      </c>
      <c r="G39" s="1" t="n">
        <f aca="false">IF(coding!$I39="",0,IF(ISNUMBER(SEARCH("T3",coding!$I39)),1,0))</f>
        <v>0</v>
      </c>
      <c r="H39" s="1" t="n">
        <f aca="false">IF(coding!$I39="",0,IF(ISNUMBER(SEARCH("T4",coding!$I39)),1,0))</f>
        <v>0</v>
      </c>
      <c r="I39" s="1" t="n">
        <f aca="false">IF(coding!$I39="",0,IF(ISNUMBER(SEARCH("T5",coding!$I39)),1,0))</f>
        <v>0</v>
      </c>
      <c r="J39" s="1" t="n">
        <f aca="false">IF(coding!$I39="",0,IF(ISNUMBER(SEARCH("T6",coding!$I39)),1,0))</f>
        <v>0</v>
      </c>
      <c r="K39" s="1" t="n">
        <f aca="false">IF(coding!$I39="",0,IF(ISNUMBER(SEARCH("T7",coding!$I39)),1,0))</f>
        <v>0</v>
      </c>
      <c r="L39" s="1" t="n">
        <f aca="false">IF(coding!$I39="",0,IF(ISNUMBER(SEARCH("T8",coding!$I39)),1,0))</f>
        <v>0</v>
      </c>
      <c r="M39" s="1" t="n">
        <f aca="false">IF(coding!$I39="",0,IF(ISNUMBER(SEARCH("T9",coding!$I39)),1,0))</f>
        <v>0</v>
      </c>
      <c r="N39" s="1" t="n">
        <f aca="false">IF(coding!$J39="",0,IF(ISNUMBER(SEARCH("T1",coding!$J39)),1,0))</f>
        <v>0</v>
      </c>
      <c r="O39" s="1" t="n">
        <f aca="false">IF(coding!$J39="",0,IF(ISNUMBER(SEARCH("T2",coding!$J39)),1,0))</f>
        <v>0</v>
      </c>
      <c r="P39" s="1" t="n">
        <f aca="false">IF(coding!$J39="",0,IF(ISNUMBER(SEARCH("T3",coding!$J39)),1,0))</f>
        <v>0</v>
      </c>
      <c r="Q39" s="1" t="n">
        <f aca="false">IF(coding!$J39="",0,IF(ISNUMBER(SEARCH("T4",coding!$J39)),1,0))</f>
        <v>0</v>
      </c>
      <c r="R39" s="1" t="n">
        <f aca="false">IF(coding!$J39="",0,IF(ISNUMBER(SEARCH("T5",coding!$J39)),1,0))</f>
        <v>0</v>
      </c>
      <c r="S39" s="1" t="n">
        <f aca="false">IF(coding!$J39="",0,IF(ISNUMBER(SEARCH("T6",coding!$J39)),1,0))</f>
        <v>0</v>
      </c>
      <c r="T39" s="1" t="n">
        <f aca="false">IF(coding!$J39="",0,IF(ISNUMBER(SEARCH("T7",coding!$J39)),1,0))</f>
        <v>0</v>
      </c>
      <c r="U39" s="1" t="n">
        <f aca="false">IF(coding!$J39="",0,IF(ISNUMBER(SEARCH("T8",coding!$J39)),1,0))</f>
        <v>0</v>
      </c>
      <c r="V39" s="1" t="n">
        <f aca="false">IF(coding!$J39="",0,IF(ISNUMBER(SEARCH("T9",coding!$J39)),1,0))</f>
        <v>0</v>
      </c>
      <c r="W39" s="1" t="n">
        <f aca="false">IF(coding!$O39="",0,IF(ISNUMBER(SEARCH("T1",coding!$O39)),1,0))</f>
        <v>0</v>
      </c>
      <c r="X39" s="1" t="n">
        <f aca="false">IF(coding!$O39="",0,IF(ISNUMBER(SEARCH("T2",coding!$O39)),1,0))</f>
        <v>0</v>
      </c>
      <c r="Y39" s="1" t="n">
        <f aca="false">IF(coding!$O39="",0,IF(ISNUMBER(SEARCH("T3",coding!$O39)),1,0))</f>
        <v>0</v>
      </c>
      <c r="Z39" s="1" t="n">
        <f aca="false">IF(coding!$O39="",0,IF(ISNUMBER(SEARCH("T4",coding!$O39)),1,0))</f>
        <v>0</v>
      </c>
      <c r="AA39" s="1" t="n">
        <f aca="false">IF(coding!$O39="",0,IF(ISNUMBER(SEARCH("T5",coding!$O39)),1,0))</f>
        <v>1</v>
      </c>
      <c r="AB39" s="1" t="n">
        <f aca="false">IF(coding!$O39="",0,IF(ISNUMBER(SEARCH("T6",coding!$O39)),1,0))</f>
        <v>0</v>
      </c>
      <c r="AC39" s="1" t="n">
        <f aca="false">IF(coding!$O39="",0,IF(ISNUMBER(SEARCH("T7",coding!$O39)),1,0))</f>
        <v>0</v>
      </c>
      <c r="AD39" s="1" t="n">
        <f aca="false">IF(coding!$O39="",0,IF(ISNUMBER(SEARCH("T8",coding!$O39)),1,0))</f>
        <v>0</v>
      </c>
      <c r="AE39" s="1" t="n">
        <f aca="false">IF(coding!$O39="",0,IF(ISNUMBER(SEARCH("T9",coding!$O39)),1,0))</f>
        <v>0</v>
      </c>
      <c r="AF39" s="1" t="n">
        <f aca="false">SUMPRODUCT($E39:$M39,$N39:$V39)</f>
        <v>0</v>
      </c>
      <c r="AG39" s="1" t="n">
        <f aca="false">SUMPRODUCT(--(($E39:$M39+$N39:$V39)&gt;0))</f>
        <v>0</v>
      </c>
      <c r="AH39" s="1" t="str">
        <f aca="false">IF(AND($B39=1,$C39=1),IF($AG39=0,1,$AF39/$AG39),"")</f>
        <v/>
      </c>
      <c r="AI39" s="1" t="str">
        <f aca="false">IF(AND($B39=1,$C39=1),IF(coding!$I39=coding!$J39,1,0),"")</f>
        <v/>
      </c>
      <c r="AJ39" s="1" t="str">
        <f aca="false">IF($B39=1,IF(SUMPRODUCT(--(($E39:$M39+$W39:$AE39)&gt;0))=0,1,SUMPRODUCT($E39:$M39,$W39:$AE39)/SUMPRODUCT(--(($E39:$M39+$W39:$AE39)&gt;0))),"")</f>
        <v/>
      </c>
      <c r="AK39" s="1" t="str">
        <f aca="false">IF($C39=1,IF(SUMPRODUCT(--(($N39:$V39+$W39:$AE39)&gt;0))=0,1,SUMPRODUCT($N39:$V39,$W39:$AE39)/SUMPRODUCT(--(($N39:$V39+$W39:$AE39)&gt;0))),"")</f>
        <v/>
      </c>
    </row>
    <row r="40" customFormat="false" ht="15" hidden="false" customHeight="true" outlineLevel="0" collapsed="false">
      <c r="A40" s="1" t="str">
        <f aca="false">coding!$A40</f>
        <v>P039</v>
      </c>
      <c r="B40" s="1" t="n">
        <f aca="false">IF(coding!$I40="",0,1)</f>
        <v>0</v>
      </c>
      <c r="C40" s="1" t="n">
        <f aca="false">IF(coding!$J40="",0,1)</f>
        <v>0</v>
      </c>
      <c r="D40" s="1" t="n">
        <f aca="false">IF(coding!$O40="",0,1)</f>
        <v>1</v>
      </c>
      <c r="E40" s="1" t="n">
        <f aca="false">IF(coding!$I40="",0,IF(ISNUMBER(SEARCH("T1",coding!$I40)),1,0))</f>
        <v>0</v>
      </c>
      <c r="F40" s="1" t="n">
        <f aca="false">IF(coding!$I40="",0,IF(ISNUMBER(SEARCH("T2",coding!$I40)),1,0))</f>
        <v>0</v>
      </c>
      <c r="G40" s="1" t="n">
        <f aca="false">IF(coding!$I40="",0,IF(ISNUMBER(SEARCH("T3",coding!$I40)),1,0))</f>
        <v>0</v>
      </c>
      <c r="H40" s="1" t="n">
        <f aca="false">IF(coding!$I40="",0,IF(ISNUMBER(SEARCH("T4",coding!$I40)),1,0))</f>
        <v>0</v>
      </c>
      <c r="I40" s="1" t="n">
        <f aca="false">IF(coding!$I40="",0,IF(ISNUMBER(SEARCH("T5",coding!$I40)),1,0))</f>
        <v>0</v>
      </c>
      <c r="J40" s="1" t="n">
        <f aca="false">IF(coding!$I40="",0,IF(ISNUMBER(SEARCH("T6",coding!$I40)),1,0))</f>
        <v>0</v>
      </c>
      <c r="K40" s="1" t="n">
        <f aca="false">IF(coding!$I40="",0,IF(ISNUMBER(SEARCH("T7",coding!$I40)),1,0))</f>
        <v>0</v>
      </c>
      <c r="L40" s="1" t="n">
        <f aca="false">IF(coding!$I40="",0,IF(ISNUMBER(SEARCH("T8",coding!$I40)),1,0))</f>
        <v>0</v>
      </c>
      <c r="M40" s="1" t="n">
        <f aca="false">IF(coding!$I40="",0,IF(ISNUMBER(SEARCH("T9",coding!$I40)),1,0))</f>
        <v>0</v>
      </c>
      <c r="N40" s="1" t="n">
        <f aca="false">IF(coding!$J40="",0,IF(ISNUMBER(SEARCH("T1",coding!$J40)),1,0))</f>
        <v>0</v>
      </c>
      <c r="O40" s="1" t="n">
        <f aca="false">IF(coding!$J40="",0,IF(ISNUMBER(SEARCH("T2",coding!$J40)),1,0))</f>
        <v>0</v>
      </c>
      <c r="P40" s="1" t="n">
        <f aca="false">IF(coding!$J40="",0,IF(ISNUMBER(SEARCH("T3",coding!$J40)),1,0))</f>
        <v>0</v>
      </c>
      <c r="Q40" s="1" t="n">
        <f aca="false">IF(coding!$J40="",0,IF(ISNUMBER(SEARCH("T4",coding!$J40)),1,0))</f>
        <v>0</v>
      </c>
      <c r="R40" s="1" t="n">
        <f aca="false">IF(coding!$J40="",0,IF(ISNUMBER(SEARCH("T5",coding!$J40)),1,0))</f>
        <v>0</v>
      </c>
      <c r="S40" s="1" t="n">
        <f aca="false">IF(coding!$J40="",0,IF(ISNUMBER(SEARCH("T6",coding!$J40)),1,0))</f>
        <v>0</v>
      </c>
      <c r="T40" s="1" t="n">
        <f aca="false">IF(coding!$J40="",0,IF(ISNUMBER(SEARCH("T7",coding!$J40)),1,0))</f>
        <v>0</v>
      </c>
      <c r="U40" s="1" t="n">
        <f aca="false">IF(coding!$J40="",0,IF(ISNUMBER(SEARCH("T8",coding!$J40)),1,0))</f>
        <v>0</v>
      </c>
      <c r="V40" s="1" t="n">
        <f aca="false">IF(coding!$J40="",0,IF(ISNUMBER(SEARCH("T9",coding!$J40)),1,0))</f>
        <v>0</v>
      </c>
      <c r="W40" s="1" t="n">
        <f aca="false">IF(coding!$O40="",0,IF(ISNUMBER(SEARCH("T1",coding!$O40)),1,0))</f>
        <v>1</v>
      </c>
      <c r="X40" s="1" t="n">
        <f aca="false">IF(coding!$O40="",0,IF(ISNUMBER(SEARCH("T2",coding!$O40)),1,0))</f>
        <v>1</v>
      </c>
      <c r="Y40" s="1" t="n">
        <f aca="false">IF(coding!$O40="",0,IF(ISNUMBER(SEARCH("T3",coding!$O40)),1,0))</f>
        <v>0</v>
      </c>
      <c r="Z40" s="1" t="n">
        <f aca="false">IF(coding!$O40="",0,IF(ISNUMBER(SEARCH("T4",coding!$O40)),1,0))</f>
        <v>0</v>
      </c>
      <c r="AA40" s="1" t="n">
        <f aca="false">IF(coding!$O40="",0,IF(ISNUMBER(SEARCH("T5",coding!$O40)),1,0))</f>
        <v>0</v>
      </c>
      <c r="AB40" s="1" t="n">
        <f aca="false">IF(coding!$O40="",0,IF(ISNUMBER(SEARCH("T6",coding!$O40)),1,0))</f>
        <v>0</v>
      </c>
      <c r="AC40" s="1" t="n">
        <f aca="false">IF(coding!$O40="",0,IF(ISNUMBER(SEARCH("T7",coding!$O40)),1,0))</f>
        <v>0</v>
      </c>
      <c r="AD40" s="1" t="n">
        <f aca="false">IF(coding!$O40="",0,IF(ISNUMBER(SEARCH("T8",coding!$O40)),1,0))</f>
        <v>0</v>
      </c>
      <c r="AE40" s="1" t="n">
        <f aca="false">IF(coding!$O40="",0,IF(ISNUMBER(SEARCH("T9",coding!$O40)),1,0))</f>
        <v>0</v>
      </c>
      <c r="AF40" s="1" t="n">
        <f aca="false">SUMPRODUCT($E40:$M40,$N40:$V40)</f>
        <v>0</v>
      </c>
      <c r="AG40" s="1" t="n">
        <f aca="false">SUMPRODUCT(--(($E40:$M40+$N40:$V40)&gt;0))</f>
        <v>0</v>
      </c>
      <c r="AH40" s="1" t="str">
        <f aca="false">IF(AND($B40=1,$C40=1),IF($AG40=0,1,$AF40/$AG40),"")</f>
        <v/>
      </c>
      <c r="AI40" s="1" t="str">
        <f aca="false">IF(AND($B40=1,$C40=1),IF(coding!$I40=coding!$J40,1,0),"")</f>
        <v/>
      </c>
      <c r="AJ40" s="1" t="str">
        <f aca="false">IF($B40=1,IF(SUMPRODUCT(--(($E40:$M40+$W40:$AE40)&gt;0))=0,1,SUMPRODUCT($E40:$M40,$W40:$AE40)/SUMPRODUCT(--(($E40:$M40+$W40:$AE40)&gt;0))),"")</f>
        <v/>
      </c>
      <c r="AK40" s="1" t="str">
        <f aca="false">IF($C40=1,IF(SUMPRODUCT(--(($N40:$V40+$W40:$AE40)&gt;0))=0,1,SUMPRODUCT($N40:$V40,$W40:$AE40)/SUMPRODUCT(--(($N40:$V40+$W40:$AE40)&gt;0))),"")</f>
        <v/>
      </c>
    </row>
    <row r="41" customFormat="false" ht="15" hidden="false" customHeight="true" outlineLevel="0" collapsed="false">
      <c r="A41" s="1" t="str">
        <f aca="false">coding!$A41</f>
        <v>P040</v>
      </c>
      <c r="B41" s="1" t="n">
        <f aca="false">IF(coding!$I41="",0,1)</f>
        <v>0</v>
      </c>
      <c r="C41" s="1" t="n">
        <f aca="false">IF(coding!$J41="",0,1)</f>
        <v>0</v>
      </c>
      <c r="D41" s="1" t="n">
        <f aca="false">IF(coding!$O41="",0,1)</f>
        <v>1</v>
      </c>
      <c r="E41" s="1" t="n">
        <f aca="false">IF(coding!$I41="",0,IF(ISNUMBER(SEARCH("T1",coding!$I41)),1,0))</f>
        <v>0</v>
      </c>
      <c r="F41" s="1" t="n">
        <f aca="false">IF(coding!$I41="",0,IF(ISNUMBER(SEARCH("T2",coding!$I41)),1,0))</f>
        <v>0</v>
      </c>
      <c r="G41" s="1" t="n">
        <f aca="false">IF(coding!$I41="",0,IF(ISNUMBER(SEARCH("T3",coding!$I41)),1,0))</f>
        <v>0</v>
      </c>
      <c r="H41" s="1" t="n">
        <f aca="false">IF(coding!$I41="",0,IF(ISNUMBER(SEARCH("T4",coding!$I41)),1,0))</f>
        <v>0</v>
      </c>
      <c r="I41" s="1" t="n">
        <f aca="false">IF(coding!$I41="",0,IF(ISNUMBER(SEARCH("T5",coding!$I41)),1,0))</f>
        <v>0</v>
      </c>
      <c r="J41" s="1" t="n">
        <f aca="false">IF(coding!$I41="",0,IF(ISNUMBER(SEARCH("T6",coding!$I41)),1,0))</f>
        <v>0</v>
      </c>
      <c r="K41" s="1" t="n">
        <f aca="false">IF(coding!$I41="",0,IF(ISNUMBER(SEARCH("T7",coding!$I41)),1,0))</f>
        <v>0</v>
      </c>
      <c r="L41" s="1" t="n">
        <f aca="false">IF(coding!$I41="",0,IF(ISNUMBER(SEARCH("T8",coding!$I41)),1,0))</f>
        <v>0</v>
      </c>
      <c r="M41" s="1" t="n">
        <f aca="false">IF(coding!$I41="",0,IF(ISNUMBER(SEARCH("T9",coding!$I41)),1,0))</f>
        <v>0</v>
      </c>
      <c r="N41" s="1" t="n">
        <f aca="false">IF(coding!$J41="",0,IF(ISNUMBER(SEARCH("T1",coding!$J41)),1,0))</f>
        <v>0</v>
      </c>
      <c r="O41" s="1" t="n">
        <f aca="false">IF(coding!$J41="",0,IF(ISNUMBER(SEARCH("T2",coding!$J41)),1,0))</f>
        <v>0</v>
      </c>
      <c r="P41" s="1" t="n">
        <f aca="false">IF(coding!$J41="",0,IF(ISNUMBER(SEARCH("T3",coding!$J41)),1,0))</f>
        <v>0</v>
      </c>
      <c r="Q41" s="1" t="n">
        <f aca="false">IF(coding!$J41="",0,IF(ISNUMBER(SEARCH("T4",coding!$J41)),1,0))</f>
        <v>0</v>
      </c>
      <c r="R41" s="1" t="n">
        <f aca="false">IF(coding!$J41="",0,IF(ISNUMBER(SEARCH("T5",coding!$J41)),1,0))</f>
        <v>0</v>
      </c>
      <c r="S41" s="1" t="n">
        <f aca="false">IF(coding!$J41="",0,IF(ISNUMBER(SEARCH("T6",coding!$J41)),1,0))</f>
        <v>0</v>
      </c>
      <c r="T41" s="1" t="n">
        <f aca="false">IF(coding!$J41="",0,IF(ISNUMBER(SEARCH("T7",coding!$J41)),1,0))</f>
        <v>0</v>
      </c>
      <c r="U41" s="1" t="n">
        <f aca="false">IF(coding!$J41="",0,IF(ISNUMBER(SEARCH("T8",coding!$J41)),1,0))</f>
        <v>0</v>
      </c>
      <c r="V41" s="1" t="n">
        <f aca="false">IF(coding!$J41="",0,IF(ISNUMBER(SEARCH("T9",coding!$J41)),1,0))</f>
        <v>0</v>
      </c>
      <c r="W41" s="1" t="n">
        <f aca="false">IF(coding!$O41="",0,IF(ISNUMBER(SEARCH("T1",coding!$O41)),1,0))</f>
        <v>0</v>
      </c>
      <c r="X41" s="1" t="n">
        <f aca="false">IF(coding!$O41="",0,IF(ISNUMBER(SEARCH("T2",coding!$O41)),1,0))</f>
        <v>0</v>
      </c>
      <c r="Y41" s="1" t="n">
        <f aca="false">IF(coding!$O41="",0,IF(ISNUMBER(SEARCH("T3",coding!$O41)),1,0))</f>
        <v>0</v>
      </c>
      <c r="Z41" s="1" t="n">
        <f aca="false">IF(coding!$O41="",0,IF(ISNUMBER(SEARCH("T4",coding!$O41)),1,0))</f>
        <v>0</v>
      </c>
      <c r="AA41" s="1" t="n">
        <f aca="false">IF(coding!$O41="",0,IF(ISNUMBER(SEARCH("T5",coding!$O41)),1,0))</f>
        <v>0</v>
      </c>
      <c r="AB41" s="1" t="n">
        <f aca="false">IF(coding!$O41="",0,IF(ISNUMBER(SEARCH("T6",coding!$O41)),1,0))</f>
        <v>0</v>
      </c>
      <c r="AC41" s="1" t="n">
        <f aca="false">IF(coding!$O41="",0,IF(ISNUMBER(SEARCH("T7",coding!$O41)),1,0))</f>
        <v>0</v>
      </c>
      <c r="AD41" s="1" t="n">
        <f aca="false">IF(coding!$O41="",0,IF(ISNUMBER(SEARCH("T8",coding!$O41)),1,0))</f>
        <v>0</v>
      </c>
      <c r="AE41" s="1" t="n">
        <f aca="false">IF(coding!$O41="",0,IF(ISNUMBER(SEARCH("T9",coding!$O41)),1,0))</f>
        <v>1</v>
      </c>
      <c r="AF41" s="1" t="n">
        <f aca="false">SUMPRODUCT($E41:$M41,$N41:$V41)</f>
        <v>0</v>
      </c>
      <c r="AG41" s="1" t="n">
        <f aca="false">SUMPRODUCT(--(($E41:$M41+$N41:$V41)&gt;0))</f>
        <v>0</v>
      </c>
      <c r="AH41" s="1" t="str">
        <f aca="false">IF(AND($B41=1,$C41=1),IF($AG41=0,1,$AF41/$AG41),"")</f>
        <v/>
      </c>
      <c r="AI41" s="1" t="str">
        <f aca="false">IF(AND($B41=1,$C41=1),IF(coding!$I41=coding!$J41,1,0),"")</f>
        <v/>
      </c>
      <c r="AJ41" s="1" t="str">
        <f aca="false">IF($B41=1,IF(SUMPRODUCT(--(($E41:$M41+$W41:$AE41)&gt;0))=0,1,SUMPRODUCT($E41:$M41,$W41:$AE41)/SUMPRODUCT(--(($E41:$M41+$W41:$AE41)&gt;0))),"")</f>
        <v/>
      </c>
      <c r="AK41" s="1" t="str">
        <f aca="false">IF($C41=1,IF(SUMPRODUCT(--(($N41:$V41+$W41:$AE41)&gt;0))=0,1,SUMPRODUCT($N41:$V41,$W41:$AE41)/SUMPRODUCT(--(($N41:$V41+$W41:$AE41)&gt;0))),"")</f>
        <v/>
      </c>
    </row>
    <row r="42" customFormat="false" ht="15" hidden="false" customHeight="true" outlineLevel="0" collapsed="false">
      <c r="A42" s="1" t="str">
        <f aca="false">coding!$A42</f>
        <v>P041</v>
      </c>
      <c r="B42" s="1" t="n">
        <f aca="false">IF(coding!$I42="",0,1)</f>
        <v>0</v>
      </c>
      <c r="C42" s="1" t="n">
        <f aca="false">IF(coding!$J42="",0,1)</f>
        <v>0</v>
      </c>
      <c r="D42" s="1" t="n">
        <f aca="false">IF(coding!$O42="",0,1)</f>
        <v>1</v>
      </c>
      <c r="E42" s="1" t="n">
        <f aca="false">IF(coding!$I42="",0,IF(ISNUMBER(SEARCH("T1",coding!$I42)),1,0))</f>
        <v>0</v>
      </c>
      <c r="F42" s="1" t="n">
        <f aca="false">IF(coding!$I42="",0,IF(ISNUMBER(SEARCH("T2",coding!$I42)),1,0))</f>
        <v>0</v>
      </c>
      <c r="G42" s="1" t="n">
        <f aca="false">IF(coding!$I42="",0,IF(ISNUMBER(SEARCH("T3",coding!$I42)),1,0))</f>
        <v>0</v>
      </c>
      <c r="H42" s="1" t="n">
        <f aca="false">IF(coding!$I42="",0,IF(ISNUMBER(SEARCH("T4",coding!$I42)),1,0))</f>
        <v>0</v>
      </c>
      <c r="I42" s="1" t="n">
        <f aca="false">IF(coding!$I42="",0,IF(ISNUMBER(SEARCH("T5",coding!$I42)),1,0))</f>
        <v>0</v>
      </c>
      <c r="J42" s="1" t="n">
        <f aca="false">IF(coding!$I42="",0,IF(ISNUMBER(SEARCH("T6",coding!$I42)),1,0))</f>
        <v>0</v>
      </c>
      <c r="K42" s="1" t="n">
        <f aca="false">IF(coding!$I42="",0,IF(ISNUMBER(SEARCH("T7",coding!$I42)),1,0))</f>
        <v>0</v>
      </c>
      <c r="L42" s="1" t="n">
        <f aca="false">IF(coding!$I42="",0,IF(ISNUMBER(SEARCH("T8",coding!$I42)),1,0))</f>
        <v>0</v>
      </c>
      <c r="M42" s="1" t="n">
        <f aca="false">IF(coding!$I42="",0,IF(ISNUMBER(SEARCH("T9",coding!$I42)),1,0))</f>
        <v>0</v>
      </c>
      <c r="N42" s="1" t="n">
        <f aca="false">IF(coding!$J42="",0,IF(ISNUMBER(SEARCH("T1",coding!$J42)),1,0))</f>
        <v>0</v>
      </c>
      <c r="O42" s="1" t="n">
        <f aca="false">IF(coding!$J42="",0,IF(ISNUMBER(SEARCH("T2",coding!$J42)),1,0))</f>
        <v>0</v>
      </c>
      <c r="P42" s="1" t="n">
        <f aca="false">IF(coding!$J42="",0,IF(ISNUMBER(SEARCH("T3",coding!$J42)),1,0))</f>
        <v>0</v>
      </c>
      <c r="Q42" s="1" t="n">
        <f aca="false">IF(coding!$J42="",0,IF(ISNUMBER(SEARCH("T4",coding!$J42)),1,0))</f>
        <v>0</v>
      </c>
      <c r="R42" s="1" t="n">
        <f aca="false">IF(coding!$J42="",0,IF(ISNUMBER(SEARCH("T5",coding!$J42)),1,0))</f>
        <v>0</v>
      </c>
      <c r="S42" s="1" t="n">
        <f aca="false">IF(coding!$J42="",0,IF(ISNUMBER(SEARCH("T6",coding!$J42)),1,0))</f>
        <v>0</v>
      </c>
      <c r="T42" s="1" t="n">
        <f aca="false">IF(coding!$J42="",0,IF(ISNUMBER(SEARCH("T7",coding!$J42)),1,0))</f>
        <v>0</v>
      </c>
      <c r="U42" s="1" t="n">
        <f aca="false">IF(coding!$J42="",0,IF(ISNUMBER(SEARCH("T8",coding!$J42)),1,0))</f>
        <v>0</v>
      </c>
      <c r="V42" s="1" t="n">
        <f aca="false">IF(coding!$J42="",0,IF(ISNUMBER(SEARCH("T9",coding!$J42)),1,0))</f>
        <v>0</v>
      </c>
      <c r="W42" s="1" t="n">
        <f aca="false">IF(coding!$O42="",0,IF(ISNUMBER(SEARCH("T1",coding!$O42)),1,0))</f>
        <v>1</v>
      </c>
      <c r="X42" s="1" t="n">
        <f aca="false">IF(coding!$O42="",0,IF(ISNUMBER(SEARCH("T2",coding!$O42)),1,0))</f>
        <v>0</v>
      </c>
      <c r="Y42" s="1" t="n">
        <f aca="false">IF(coding!$O42="",0,IF(ISNUMBER(SEARCH("T3",coding!$O42)),1,0))</f>
        <v>0</v>
      </c>
      <c r="Z42" s="1" t="n">
        <f aca="false">IF(coding!$O42="",0,IF(ISNUMBER(SEARCH("T4",coding!$O42)),1,0))</f>
        <v>0</v>
      </c>
      <c r="AA42" s="1" t="n">
        <f aca="false">IF(coding!$O42="",0,IF(ISNUMBER(SEARCH("T5",coding!$O42)),1,0))</f>
        <v>0</v>
      </c>
      <c r="AB42" s="1" t="n">
        <f aca="false">IF(coding!$O42="",0,IF(ISNUMBER(SEARCH("T6",coding!$O42)),1,0))</f>
        <v>0</v>
      </c>
      <c r="AC42" s="1" t="n">
        <f aca="false">IF(coding!$O42="",0,IF(ISNUMBER(SEARCH("T7",coding!$O42)),1,0))</f>
        <v>0</v>
      </c>
      <c r="AD42" s="1" t="n">
        <f aca="false">IF(coding!$O42="",0,IF(ISNUMBER(SEARCH("T8",coding!$O42)),1,0))</f>
        <v>0</v>
      </c>
      <c r="AE42" s="1" t="n">
        <f aca="false">IF(coding!$O42="",0,IF(ISNUMBER(SEARCH("T9",coding!$O42)),1,0))</f>
        <v>0</v>
      </c>
      <c r="AF42" s="1" t="n">
        <f aca="false">SUMPRODUCT($E42:$M42,$N42:$V42)</f>
        <v>0</v>
      </c>
      <c r="AG42" s="1" t="n">
        <f aca="false">SUMPRODUCT(--(($E42:$M42+$N42:$V42)&gt;0))</f>
        <v>0</v>
      </c>
      <c r="AH42" s="1" t="str">
        <f aca="false">IF(AND($B42=1,$C42=1),IF($AG42=0,1,$AF42/$AG42),"")</f>
        <v/>
      </c>
      <c r="AI42" s="1" t="str">
        <f aca="false">IF(AND($B42=1,$C42=1),IF(coding!$I42=coding!$J42,1,0),"")</f>
        <v/>
      </c>
      <c r="AJ42" s="1" t="str">
        <f aca="false">IF($B42=1,IF(SUMPRODUCT(--(($E42:$M42+$W42:$AE42)&gt;0))=0,1,SUMPRODUCT($E42:$M42,$W42:$AE42)/SUMPRODUCT(--(($E42:$M42+$W42:$AE42)&gt;0))),"")</f>
        <v/>
      </c>
      <c r="AK42" s="1" t="str">
        <f aca="false">IF($C42=1,IF(SUMPRODUCT(--(($N42:$V42+$W42:$AE42)&gt;0))=0,1,SUMPRODUCT($N42:$V42,$W42:$AE42)/SUMPRODUCT(--(($N42:$V42+$W42:$AE42)&gt;0))),"")</f>
        <v/>
      </c>
    </row>
    <row r="43" customFormat="false" ht="15" hidden="false" customHeight="true" outlineLevel="0" collapsed="false">
      <c r="A43" s="1" t="str">
        <f aca="false">coding!$A43</f>
        <v>P042</v>
      </c>
      <c r="B43" s="1" t="n">
        <f aca="false">IF(coding!$I43="",0,1)</f>
        <v>0</v>
      </c>
      <c r="C43" s="1" t="n">
        <f aca="false">IF(coding!$J43="",0,1)</f>
        <v>0</v>
      </c>
      <c r="D43" s="1" t="n">
        <f aca="false">IF(coding!$O43="",0,1)</f>
        <v>1</v>
      </c>
      <c r="E43" s="1" t="n">
        <f aca="false">IF(coding!$I43="",0,IF(ISNUMBER(SEARCH("T1",coding!$I43)),1,0))</f>
        <v>0</v>
      </c>
      <c r="F43" s="1" t="n">
        <f aca="false">IF(coding!$I43="",0,IF(ISNUMBER(SEARCH("T2",coding!$I43)),1,0))</f>
        <v>0</v>
      </c>
      <c r="G43" s="1" t="n">
        <f aca="false">IF(coding!$I43="",0,IF(ISNUMBER(SEARCH("T3",coding!$I43)),1,0))</f>
        <v>0</v>
      </c>
      <c r="H43" s="1" t="n">
        <f aca="false">IF(coding!$I43="",0,IF(ISNUMBER(SEARCH("T4",coding!$I43)),1,0))</f>
        <v>0</v>
      </c>
      <c r="I43" s="1" t="n">
        <f aca="false">IF(coding!$I43="",0,IF(ISNUMBER(SEARCH("T5",coding!$I43)),1,0))</f>
        <v>0</v>
      </c>
      <c r="J43" s="1" t="n">
        <f aca="false">IF(coding!$I43="",0,IF(ISNUMBER(SEARCH("T6",coding!$I43)),1,0))</f>
        <v>0</v>
      </c>
      <c r="K43" s="1" t="n">
        <f aca="false">IF(coding!$I43="",0,IF(ISNUMBER(SEARCH("T7",coding!$I43)),1,0))</f>
        <v>0</v>
      </c>
      <c r="L43" s="1" t="n">
        <f aca="false">IF(coding!$I43="",0,IF(ISNUMBER(SEARCH("T8",coding!$I43)),1,0))</f>
        <v>0</v>
      </c>
      <c r="M43" s="1" t="n">
        <f aca="false">IF(coding!$I43="",0,IF(ISNUMBER(SEARCH("T9",coding!$I43)),1,0))</f>
        <v>0</v>
      </c>
      <c r="N43" s="1" t="n">
        <f aca="false">IF(coding!$J43="",0,IF(ISNUMBER(SEARCH("T1",coding!$J43)),1,0))</f>
        <v>0</v>
      </c>
      <c r="O43" s="1" t="n">
        <f aca="false">IF(coding!$J43="",0,IF(ISNUMBER(SEARCH("T2",coding!$J43)),1,0))</f>
        <v>0</v>
      </c>
      <c r="P43" s="1" t="n">
        <f aca="false">IF(coding!$J43="",0,IF(ISNUMBER(SEARCH("T3",coding!$J43)),1,0))</f>
        <v>0</v>
      </c>
      <c r="Q43" s="1" t="n">
        <f aca="false">IF(coding!$J43="",0,IF(ISNUMBER(SEARCH("T4",coding!$J43)),1,0))</f>
        <v>0</v>
      </c>
      <c r="R43" s="1" t="n">
        <f aca="false">IF(coding!$J43="",0,IF(ISNUMBER(SEARCH("T5",coding!$J43)),1,0))</f>
        <v>0</v>
      </c>
      <c r="S43" s="1" t="n">
        <f aca="false">IF(coding!$J43="",0,IF(ISNUMBER(SEARCH("T6",coding!$J43)),1,0))</f>
        <v>0</v>
      </c>
      <c r="T43" s="1" t="n">
        <f aca="false">IF(coding!$J43="",0,IF(ISNUMBER(SEARCH("T7",coding!$J43)),1,0))</f>
        <v>0</v>
      </c>
      <c r="U43" s="1" t="n">
        <f aca="false">IF(coding!$J43="",0,IF(ISNUMBER(SEARCH("T8",coding!$J43)),1,0))</f>
        <v>0</v>
      </c>
      <c r="V43" s="1" t="n">
        <f aca="false">IF(coding!$J43="",0,IF(ISNUMBER(SEARCH("T9",coding!$J43)),1,0))</f>
        <v>0</v>
      </c>
      <c r="W43" s="1" t="n">
        <f aca="false">IF(coding!$O43="",0,IF(ISNUMBER(SEARCH("T1",coding!$O43)),1,0))</f>
        <v>1</v>
      </c>
      <c r="X43" s="1" t="n">
        <f aca="false">IF(coding!$O43="",0,IF(ISNUMBER(SEARCH("T2",coding!$O43)),1,0))</f>
        <v>0</v>
      </c>
      <c r="Y43" s="1" t="n">
        <f aca="false">IF(coding!$O43="",0,IF(ISNUMBER(SEARCH("T3",coding!$O43)),1,0))</f>
        <v>1</v>
      </c>
      <c r="Z43" s="1" t="n">
        <f aca="false">IF(coding!$O43="",0,IF(ISNUMBER(SEARCH("T4",coding!$O43)),1,0))</f>
        <v>0</v>
      </c>
      <c r="AA43" s="1" t="n">
        <f aca="false">IF(coding!$O43="",0,IF(ISNUMBER(SEARCH("T5",coding!$O43)),1,0))</f>
        <v>0</v>
      </c>
      <c r="AB43" s="1" t="n">
        <f aca="false">IF(coding!$O43="",0,IF(ISNUMBER(SEARCH("T6",coding!$O43)),1,0))</f>
        <v>0</v>
      </c>
      <c r="AC43" s="1" t="n">
        <f aca="false">IF(coding!$O43="",0,IF(ISNUMBER(SEARCH("T7",coding!$O43)),1,0))</f>
        <v>0</v>
      </c>
      <c r="AD43" s="1" t="n">
        <f aca="false">IF(coding!$O43="",0,IF(ISNUMBER(SEARCH("T8",coding!$O43)),1,0))</f>
        <v>0</v>
      </c>
      <c r="AE43" s="1" t="n">
        <f aca="false">IF(coding!$O43="",0,IF(ISNUMBER(SEARCH("T9",coding!$O43)),1,0))</f>
        <v>0</v>
      </c>
      <c r="AF43" s="1" t="n">
        <f aca="false">SUMPRODUCT($E43:$M43,$N43:$V43)</f>
        <v>0</v>
      </c>
      <c r="AG43" s="1" t="n">
        <f aca="false">SUMPRODUCT(--(($E43:$M43+$N43:$V43)&gt;0))</f>
        <v>0</v>
      </c>
      <c r="AH43" s="1" t="str">
        <f aca="false">IF(AND($B43=1,$C43=1),IF($AG43=0,1,$AF43/$AG43),"")</f>
        <v/>
      </c>
      <c r="AI43" s="1" t="str">
        <f aca="false">IF(AND($B43=1,$C43=1),IF(coding!$I43=coding!$J43,1,0),"")</f>
        <v/>
      </c>
      <c r="AJ43" s="1" t="str">
        <f aca="false">IF($B43=1,IF(SUMPRODUCT(--(($E43:$M43+$W43:$AE43)&gt;0))=0,1,SUMPRODUCT($E43:$M43,$W43:$AE43)/SUMPRODUCT(--(($E43:$M43+$W43:$AE43)&gt;0))),"")</f>
        <v/>
      </c>
      <c r="AK43" s="1" t="str">
        <f aca="false">IF($C43=1,IF(SUMPRODUCT(--(($N43:$V43+$W43:$AE43)&gt;0))=0,1,SUMPRODUCT($N43:$V43,$W43:$AE43)/SUMPRODUCT(--(($N43:$V43+$W43:$AE43)&gt;0))),"")</f>
        <v/>
      </c>
    </row>
    <row r="44" customFormat="false" ht="15" hidden="false" customHeight="true" outlineLevel="0" collapsed="false">
      <c r="A44" s="1" t="str">
        <f aca="false">coding!$A44</f>
        <v>P043</v>
      </c>
      <c r="B44" s="1" t="n">
        <f aca="false">IF(coding!$I44="",0,1)</f>
        <v>0</v>
      </c>
      <c r="C44" s="1" t="n">
        <f aca="false">IF(coding!$J44="",0,1)</f>
        <v>0</v>
      </c>
      <c r="D44" s="1" t="n">
        <f aca="false">IF(coding!$O44="",0,1)</f>
        <v>1</v>
      </c>
      <c r="E44" s="1" t="n">
        <f aca="false">IF(coding!$I44="",0,IF(ISNUMBER(SEARCH("T1",coding!$I44)),1,0))</f>
        <v>0</v>
      </c>
      <c r="F44" s="1" t="n">
        <f aca="false">IF(coding!$I44="",0,IF(ISNUMBER(SEARCH("T2",coding!$I44)),1,0))</f>
        <v>0</v>
      </c>
      <c r="G44" s="1" t="n">
        <f aca="false">IF(coding!$I44="",0,IF(ISNUMBER(SEARCH("T3",coding!$I44)),1,0))</f>
        <v>0</v>
      </c>
      <c r="H44" s="1" t="n">
        <f aca="false">IF(coding!$I44="",0,IF(ISNUMBER(SEARCH("T4",coding!$I44)),1,0))</f>
        <v>0</v>
      </c>
      <c r="I44" s="1" t="n">
        <f aca="false">IF(coding!$I44="",0,IF(ISNUMBER(SEARCH("T5",coding!$I44)),1,0))</f>
        <v>0</v>
      </c>
      <c r="J44" s="1" t="n">
        <f aca="false">IF(coding!$I44="",0,IF(ISNUMBER(SEARCH("T6",coding!$I44)),1,0))</f>
        <v>0</v>
      </c>
      <c r="K44" s="1" t="n">
        <f aca="false">IF(coding!$I44="",0,IF(ISNUMBER(SEARCH("T7",coding!$I44)),1,0))</f>
        <v>0</v>
      </c>
      <c r="L44" s="1" t="n">
        <f aca="false">IF(coding!$I44="",0,IF(ISNUMBER(SEARCH("T8",coding!$I44)),1,0))</f>
        <v>0</v>
      </c>
      <c r="M44" s="1" t="n">
        <f aca="false">IF(coding!$I44="",0,IF(ISNUMBER(SEARCH("T9",coding!$I44)),1,0))</f>
        <v>0</v>
      </c>
      <c r="N44" s="1" t="n">
        <f aca="false">IF(coding!$J44="",0,IF(ISNUMBER(SEARCH("T1",coding!$J44)),1,0))</f>
        <v>0</v>
      </c>
      <c r="O44" s="1" t="n">
        <f aca="false">IF(coding!$J44="",0,IF(ISNUMBER(SEARCH("T2",coding!$J44)),1,0))</f>
        <v>0</v>
      </c>
      <c r="P44" s="1" t="n">
        <f aca="false">IF(coding!$J44="",0,IF(ISNUMBER(SEARCH("T3",coding!$J44)),1,0))</f>
        <v>0</v>
      </c>
      <c r="Q44" s="1" t="n">
        <f aca="false">IF(coding!$J44="",0,IF(ISNUMBER(SEARCH("T4",coding!$J44)),1,0))</f>
        <v>0</v>
      </c>
      <c r="R44" s="1" t="n">
        <f aca="false">IF(coding!$J44="",0,IF(ISNUMBER(SEARCH("T5",coding!$J44)),1,0))</f>
        <v>0</v>
      </c>
      <c r="S44" s="1" t="n">
        <f aca="false">IF(coding!$J44="",0,IF(ISNUMBER(SEARCH("T6",coding!$J44)),1,0))</f>
        <v>0</v>
      </c>
      <c r="T44" s="1" t="n">
        <f aca="false">IF(coding!$J44="",0,IF(ISNUMBER(SEARCH("T7",coding!$J44)),1,0))</f>
        <v>0</v>
      </c>
      <c r="U44" s="1" t="n">
        <f aca="false">IF(coding!$J44="",0,IF(ISNUMBER(SEARCH("T8",coding!$J44)),1,0))</f>
        <v>0</v>
      </c>
      <c r="V44" s="1" t="n">
        <f aca="false">IF(coding!$J44="",0,IF(ISNUMBER(SEARCH("T9",coding!$J44)),1,0))</f>
        <v>0</v>
      </c>
      <c r="W44" s="1" t="n">
        <f aca="false">IF(coding!$O44="",0,IF(ISNUMBER(SEARCH("T1",coding!$O44)),1,0))</f>
        <v>1</v>
      </c>
      <c r="X44" s="1" t="n">
        <f aca="false">IF(coding!$O44="",0,IF(ISNUMBER(SEARCH("T2",coding!$O44)),1,0))</f>
        <v>1</v>
      </c>
      <c r="Y44" s="1" t="n">
        <f aca="false">IF(coding!$O44="",0,IF(ISNUMBER(SEARCH("T3",coding!$O44)),1,0))</f>
        <v>0</v>
      </c>
      <c r="Z44" s="1" t="n">
        <f aca="false">IF(coding!$O44="",0,IF(ISNUMBER(SEARCH("T4",coding!$O44)),1,0))</f>
        <v>0</v>
      </c>
      <c r="AA44" s="1" t="n">
        <f aca="false">IF(coding!$O44="",0,IF(ISNUMBER(SEARCH("T5",coding!$O44)),1,0))</f>
        <v>0</v>
      </c>
      <c r="AB44" s="1" t="n">
        <f aca="false">IF(coding!$O44="",0,IF(ISNUMBER(SEARCH("T6",coding!$O44)),1,0))</f>
        <v>0</v>
      </c>
      <c r="AC44" s="1" t="n">
        <f aca="false">IF(coding!$O44="",0,IF(ISNUMBER(SEARCH("T7",coding!$O44)),1,0))</f>
        <v>0</v>
      </c>
      <c r="AD44" s="1" t="n">
        <f aca="false">IF(coding!$O44="",0,IF(ISNUMBER(SEARCH("T8",coding!$O44)),1,0))</f>
        <v>0</v>
      </c>
      <c r="AE44" s="1" t="n">
        <f aca="false">IF(coding!$O44="",0,IF(ISNUMBER(SEARCH("T9",coding!$O44)),1,0))</f>
        <v>0</v>
      </c>
      <c r="AF44" s="1" t="n">
        <f aca="false">SUMPRODUCT($E44:$M44,$N44:$V44)</f>
        <v>0</v>
      </c>
      <c r="AG44" s="1" t="n">
        <f aca="false">SUMPRODUCT(--(($E44:$M44+$N44:$V44)&gt;0))</f>
        <v>0</v>
      </c>
      <c r="AH44" s="1" t="str">
        <f aca="false">IF(AND($B44=1,$C44=1),IF($AG44=0,1,$AF44/$AG44),"")</f>
        <v/>
      </c>
      <c r="AI44" s="1" t="str">
        <f aca="false">IF(AND($B44=1,$C44=1),IF(coding!$I44=coding!$J44,1,0),"")</f>
        <v/>
      </c>
      <c r="AJ44" s="1" t="str">
        <f aca="false">IF($B44=1,IF(SUMPRODUCT(--(($E44:$M44+$W44:$AE44)&gt;0))=0,1,SUMPRODUCT($E44:$M44,$W44:$AE44)/SUMPRODUCT(--(($E44:$M44+$W44:$AE44)&gt;0))),"")</f>
        <v/>
      </c>
      <c r="AK44" s="1" t="str">
        <f aca="false">IF($C44=1,IF(SUMPRODUCT(--(($N44:$V44+$W44:$AE44)&gt;0))=0,1,SUMPRODUCT($N44:$V44,$W44:$AE44)/SUMPRODUCT(--(($N44:$V44+$W44:$AE44)&gt;0))),"")</f>
        <v/>
      </c>
    </row>
    <row r="45" customFormat="false" ht="15" hidden="false" customHeight="true" outlineLevel="0" collapsed="false">
      <c r="A45" s="1" t="str">
        <f aca="false">coding!$A45</f>
        <v>P044</v>
      </c>
      <c r="B45" s="1" t="n">
        <f aca="false">IF(coding!$I45="",0,1)</f>
        <v>0</v>
      </c>
      <c r="C45" s="1" t="n">
        <f aca="false">IF(coding!$J45="",0,1)</f>
        <v>0</v>
      </c>
      <c r="D45" s="1" t="n">
        <f aca="false">IF(coding!$O45="",0,1)</f>
        <v>1</v>
      </c>
      <c r="E45" s="1" t="n">
        <f aca="false">IF(coding!$I45="",0,IF(ISNUMBER(SEARCH("T1",coding!$I45)),1,0))</f>
        <v>0</v>
      </c>
      <c r="F45" s="1" t="n">
        <f aca="false">IF(coding!$I45="",0,IF(ISNUMBER(SEARCH("T2",coding!$I45)),1,0))</f>
        <v>0</v>
      </c>
      <c r="G45" s="1" t="n">
        <f aca="false">IF(coding!$I45="",0,IF(ISNUMBER(SEARCH("T3",coding!$I45)),1,0))</f>
        <v>0</v>
      </c>
      <c r="H45" s="1" t="n">
        <f aca="false">IF(coding!$I45="",0,IF(ISNUMBER(SEARCH("T4",coding!$I45)),1,0))</f>
        <v>0</v>
      </c>
      <c r="I45" s="1" t="n">
        <f aca="false">IF(coding!$I45="",0,IF(ISNUMBER(SEARCH("T5",coding!$I45)),1,0))</f>
        <v>0</v>
      </c>
      <c r="J45" s="1" t="n">
        <f aca="false">IF(coding!$I45="",0,IF(ISNUMBER(SEARCH("T6",coding!$I45)),1,0))</f>
        <v>0</v>
      </c>
      <c r="K45" s="1" t="n">
        <f aca="false">IF(coding!$I45="",0,IF(ISNUMBER(SEARCH("T7",coding!$I45)),1,0))</f>
        <v>0</v>
      </c>
      <c r="L45" s="1" t="n">
        <f aca="false">IF(coding!$I45="",0,IF(ISNUMBER(SEARCH("T8",coding!$I45)),1,0))</f>
        <v>0</v>
      </c>
      <c r="M45" s="1" t="n">
        <f aca="false">IF(coding!$I45="",0,IF(ISNUMBER(SEARCH("T9",coding!$I45)),1,0))</f>
        <v>0</v>
      </c>
      <c r="N45" s="1" t="n">
        <f aca="false">IF(coding!$J45="",0,IF(ISNUMBER(SEARCH("T1",coding!$J45)),1,0))</f>
        <v>0</v>
      </c>
      <c r="O45" s="1" t="n">
        <f aca="false">IF(coding!$J45="",0,IF(ISNUMBER(SEARCH("T2",coding!$J45)),1,0))</f>
        <v>0</v>
      </c>
      <c r="P45" s="1" t="n">
        <f aca="false">IF(coding!$J45="",0,IF(ISNUMBER(SEARCH("T3",coding!$J45)),1,0))</f>
        <v>0</v>
      </c>
      <c r="Q45" s="1" t="n">
        <f aca="false">IF(coding!$J45="",0,IF(ISNUMBER(SEARCH("T4",coding!$J45)),1,0))</f>
        <v>0</v>
      </c>
      <c r="R45" s="1" t="n">
        <f aca="false">IF(coding!$J45="",0,IF(ISNUMBER(SEARCH("T5",coding!$J45)),1,0))</f>
        <v>0</v>
      </c>
      <c r="S45" s="1" t="n">
        <f aca="false">IF(coding!$J45="",0,IF(ISNUMBER(SEARCH("T6",coding!$J45)),1,0))</f>
        <v>0</v>
      </c>
      <c r="T45" s="1" t="n">
        <f aca="false">IF(coding!$J45="",0,IF(ISNUMBER(SEARCH("T7",coding!$J45)),1,0))</f>
        <v>0</v>
      </c>
      <c r="U45" s="1" t="n">
        <f aca="false">IF(coding!$J45="",0,IF(ISNUMBER(SEARCH("T8",coding!$J45)),1,0))</f>
        <v>0</v>
      </c>
      <c r="V45" s="1" t="n">
        <f aca="false">IF(coding!$J45="",0,IF(ISNUMBER(SEARCH("T9",coding!$J45)),1,0))</f>
        <v>0</v>
      </c>
      <c r="W45" s="1" t="n">
        <f aca="false">IF(coding!$O45="",0,IF(ISNUMBER(SEARCH("T1",coding!$O45)),1,0))</f>
        <v>1</v>
      </c>
      <c r="X45" s="1" t="n">
        <f aca="false">IF(coding!$O45="",0,IF(ISNUMBER(SEARCH("T2",coding!$O45)),1,0))</f>
        <v>0</v>
      </c>
      <c r="Y45" s="1" t="n">
        <f aca="false">IF(coding!$O45="",0,IF(ISNUMBER(SEARCH("T3",coding!$O45)),1,0))</f>
        <v>0</v>
      </c>
      <c r="Z45" s="1" t="n">
        <f aca="false">IF(coding!$O45="",0,IF(ISNUMBER(SEARCH("T4",coding!$O45)),1,0))</f>
        <v>0</v>
      </c>
      <c r="AA45" s="1" t="n">
        <f aca="false">IF(coding!$O45="",0,IF(ISNUMBER(SEARCH("T5",coding!$O45)),1,0))</f>
        <v>0</v>
      </c>
      <c r="AB45" s="1" t="n">
        <f aca="false">IF(coding!$O45="",0,IF(ISNUMBER(SEARCH("T6",coding!$O45)),1,0))</f>
        <v>0</v>
      </c>
      <c r="AC45" s="1" t="n">
        <f aca="false">IF(coding!$O45="",0,IF(ISNUMBER(SEARCH("T7",coding!$O45)),1,0))</f>
        <v>0</v>
      </c>
      <c r="AD45" s="1" t="n">
        <f aca="false">IF(coding!$O45="",0,IF(ISNUMBER(SEARCH("T8",coding!$O45)),1,0))</f>
        <v>0</v>
      </c>
      <c r="AE45" s="1" t="n">
        <f aca="false">IF(coding!$O45="",0,IF(ISNUMBER(SEARCH("T9",coding!$O45)),1,0))</f>
        <v>0</v>
      </c>
      <c r="AF45" s="1" t="n">
        <f aca="false">SUMPRODUCT($E45:$M45,$N45:$V45)</f>
        <v>0</v>
      </c>
      <c r="AG45" s="1" t="n">
        <f aca="false">SUMPRODUCT(--(($E45:$M45+$N45:$V45)&gt;0))</f>
        <v>0</v>
      </c>
      <c r="AH45" s="1" t="str">
        <f aca="false">IF(AND($B45=1,$C45=1),IF($AG45=0,1,$AF45/$AG45),"")</f>
        <v/>
      </c>
      <c r="AI45" s="1" t="str">
        <f aca="false">IF(AND($B45=1,$C45=1),IF(coding!$I45=coding!$J45,1,0),"")</f>
        <v/>
      </c>
      <c r="AJ45" s="1" t="str">
        <f aca="false">IF($B45=1,IF(SUMPRODUCT(--(($E45:$M45+$W45:$AE45)&gt;0))=0,1,SUMPRODUCT($E45:$M45,$W45:$AE45)/SUMPRODUCT(--(($E45:$M45+$W45:$AE45)&gt;0))),"")</f>
        <v/>
      </c>
      <c r="AK45" s="1" t="str">
        <f aca="false">IF($C45=1,IF(SUMPRODUCT(--(($N45:$V45+$W45:$AE45)&gt;0))=0,1,SUMPRODUCT($N45:$V45,$W45:$AE45)/SUMPRODUCT(--(($N45:$V45+$W45:$AE45)&gt;0))),"")</f>
        <v/>
      </c>
    </row>
    <row r="46" customFormat="false" ht="15" hidden="false" customHeight="true" outlineLevel="0" collapsed="false">
      <c r="A46" s="1" t="str">
        <f aca="false">coding!$A46</f>
        <v>P045</v>
      </c>
      <c r="B46" s="1" t="n">
        <f aca="false">IF(coding!$I46="",0,1)</f>
        <v>0</v>
      </c>
      <c r="C46" s="1" t="n">
        <f aca="false">IF(coding!$J46="",0,1)</f>
        <v>0</v>
      </c>
      <c r="D46" s="1" t="n">
        <f aca="false">IF(coding!$O46="",0,1)</f>
        <v>1</v>
      </c>
      <c r="E46" s="1" t="n">
        <f aca="false">IF(coding!$I46="",0,IF(ISNUMBER(SEARCH("T1",coding!$I46)),1,0))</f>
        <v>0</v>
      </c>
      <c r="F46" s="1" t="n">
        <f aca="false">IF(coding!$I46="",0,IF(ISNUMBER(SEARCH("T2",coding!$I46)),1,0))</f>
        <v>0</v>
      </c>
      <c r="G46" s="1" t="n">
        <f aca="false">IF(coding!$I46="",0,IF(ISNUMBER(SEARCH("T3",coding!$I46)),1,0))</f>
        <v>0</v>
      </c>
      <c r="H46" s="1" t="n">
        <f aca="false">IF(coding!$I46="",0,IF(ISNUMBER(SEARCH("T4",coding!$I46)),1,0))</f>
        <v>0</v>
      </c>
      <c r="I46" s="1" t="n">
        <f aca="false">IF(coding!$I46="",0,IF(ISNUMBER(SEARCH("T5",coding!$I46)),1,0))</f>
        <v>0</v>
      </c>
      <c r="J46" s="1" t="n">
        <f aca="false">IF(coding!$I46="",0,IF(ISNUMBER(SEARCH("T6",coding!$I46)),1,0))</f>
        <v>0</v>
      </c>
      <c r="K46" s="1" t="n">
        <f aca="false">IF(coding!$I46="",0,IF(ISNUMBER(SEARCH("T7",coding!$I46)),1,0))</f>
        <v>0</v>
      </c>
      <c r="L46" s="1" t="n">
        <f aca="false">IF(coding!$I46="",0,IF(ISNUMBER(SEARCH("T8",coding!$I46)),1,0))</f>
        <v>0</v>
      </c>
      <c r="M46" s="1" t="n">
        <f aca="false">IF(coding!$I46="",0,IF(ISNUMBER(SEARCH("T9",coding!$I46)),1,0))</f>
        <v>0</v>
      </c>
      <c r="N46" s="1" t="n">
        <f aca="false">IF(coding!$J46="",0,IF(ISNUMBER(SEARCH("T1",coding!$J46)),1,0))</f>
        <v>0</v>
      </c>
      <c r="O46" s="1" t="n">
        <f aca="false">IF(coding!$J46="",0,IF(ISNUMBER(SEARCH("T2",coding!$J46)),1,0))</f>
        <v>0</v>
      </c>
      <c r="P46" s="1" t="n">
        <f aca="false">IF(coding!$J46="",0,IF(ISNUMBER(SEARCH("T3",coding!$J46)),1,0))</f>
        <v>0</v>
      </c>
      <c r="Q46" s="1" t="n">
        <f aca="false">IF(coding!$J46="",0,IF(ISNUMBER(SEARCH("T4",coding!$J46)),1,0))</f>
        <v>0</v>
      </c>
      <c r="R46" s="1" t="n">
        <f aca="false">IF(coding!$J46="",0,IF(ISNUMBER(SEARCH("T5",coding!$J46)),1,0))</f>
        <v>0</v>
      </c>
      <c r="S46" s="1" t="n">
        <f aca="false">IF(coding!$J46="",0,IF(ISNUMBER(SEARCH("T6",coding!$J46)),1,0))</f>
        <v>0</v>
      </c>
      <c r="T46" s="1" t="n">
        <f aca="false">IF(coding!$J46="",0,IF(ISNUMBER(SEARCH("T7",coding!$J46)),1,0))</f>
        <v>0</v>
      </c>
      <c r="U46" s="1" t="n">
        <f aca="false">IF(coding!$J46="",0,IF(ISNUMBER(SEARCH("T8",coding!$J46)),1,0))</f>
        <v>0</v>
      </c>
      <c r="V46" s="1" t="n">
        <f aca="false">IF(coding!$J46="",0,IF(ISNUMBER(SEARCH("T9",coding!$J46)),1,0))</f>
        <v>0</v>
      </c>
      <c r="W46" s="1" t="n">
        <f aca="false">IF(coding!$O46="",0,IF(ISNUMBER(SEARCH("T1",coding!$O46)),1,0))</f>
        <v>1</v>
      </c>
      <c r="X46" s="1" t="n">
        <f aca="false">IF(coding!$O46="",0,IF(ISNUMBER(SEARCH("T2",coding!$O46)),1,0))</f>
        <v>0</v>
      </c>
      <c r="Y46" s="1" t="n">
        <f aca="false">IF(coding!$O46="",0,IF(ISNUMBER(SEARCH("T3",coding!$O46)),1,0))</f>
        <v>0</v>
      </c>
      <c r="Z46" s="1" t="n">
        <f aca="false">IF(coding!$O46="",0,IF(ISNUMBER(SEARCH("T4",coding!$O46)),1,0))</f>
        <v>0</v>
      </c>
      <c r="AA46" s="1" t="n">
        <f aca="false">IF(coding!$O46="",0,IF(ISNUMBER(SEARCH("T5",coding!$O46)),1,0))</f>
        <v>1</v>
      </c>
      <c r="AB46" s="1" t="n">
        <f aca="false">IF(coding!$O46="",0,IF(ISNUMBER(SEARCH("T6",coding!$O46)),1,0))</f>
        <v>0</v>
      </c>
      <c r="AC46" s="1" t="n">
        <f aca="false">IF(coding!$O46="",0,IF(ISNUMBER(SEARCH("T7",coding!$O46)),1,0))</f>
        <v>0</v>
      </c>
      <c r="AD46" s="1" t="n">
        <f aca="false">IF(coding!$O46="",0,IF(ISNUMBER(SEARCH("T8",coding!$O46)),1,0))</f>
        <v>1</v>
      </c>
      <c r="AE46" s="1" t="n">
        <f aca="false">IF(coding!$O46="",0,IF(ISNUMBER(SEARCH("T9",coding!$O46)),1,0))</f>
        <v>0</v>
      </c>
      <c r="AF46" s="1" t="n">
        <f aca="false">SUMPRODUCT($E46:$M46,$N46:$V46)</f>
        <v>0</v>
      </c>
      <c r="AG46" s="1" t="n">
        <f aca="false">SUMPRODUCT(--(($E46:$M46+$N46:$V46)&gt;0))</f>
        <v>0</v>
      </c>
      <c r="AH46" s="1" t="str">
        <f aca="false">IF(AND($B46=1,$C46=1),IF($AG46=0,1,$AF46/$AG46),"")</f>
        <v/>
      </c>
      <c r="AI46" s="1" t="str">
        <f aca="false">IF(AND($B46=1,$C46=1),IF(coding!$I46=coding!$J46,1,0),"")</f>
        <v/>
      </c>
      <c r="AJ46" s="1" t="str">
        <f aca="false">IF($B46=1,IF(SUMPRODUCT(--(($E46:$M46+$W46:$AE46)&gt;0))=0,1,SUMPRODUCT($E46:$M46,$W46:$AE46)/SUMPRODUCT(--(($E46:$M46+$W46:$AE46)&gt;0))),"")</f>
        <v/>
      </c>
      <c r="AK46" s="1" t="str">
        <f aca="false">IF($C46=1,IF(SUMPRODUCT(--(($N46:$V46+$W46:$AE46)&gt;0))=0,1,SUMPRODUCT($N46:$V46,$W46:$AE46)/SUMPRODUCT(--(($N46:$V46+$W46:$AE46)&gt;0))),"")</f>
        <v/>
      </c>
    </row>
    <row r="47" customFormat="false" ht="15" hidden="false" customHeight="true" outlineLevel="0" collapsed="false">
      <c r="A47" s="1" t="str">
        <f aca="false">coding!$A47</f>
        <v>P046</v>
      </c>
      <c r="B47" s="1" t="n">
        <f aca="false">IF(coding!$I47="",0,1)</f>
        <v>0</v>
      </c>
      <c r="C47" s="1" t="n">
        <f aca="false">IF(coding!$J47="",0,1)</f>
        <v>0</v>
      </c>
      <c r="D47" s="1" t="n">
        <f aca="false">IF(coding!$O47="",0,1)</f>
        <v>1</v>
      </c>
      <c r="E47" s="1" t="n">
        <f aca="false">IF(coding!$I47="",0,IF(ISNUMBER(SEARCH("T1",coding!$I47)),1,0))</f>
        <v>0</v>
      </c>
      <c r="F47" s="1" t="n">
        <f aca="false">IF(coding!$I47="",0,IF(ISNUMBER(SEARCH("T2",coding!$I47)),1,0))</f>
        <v>0</v>
      </c>
      <c r="G47" s="1" t="n">
        <f aca="false">IF(coding!$I47="",0,IF(ISNUMBER(SEARCH("T3",coding!$I47)),1,0))</f>
        <v>0</v>
      </c>
      <c r="H47" s="1" t="n">
        <f aca="false">IF(coding!$I47="",0,IF(ISNUMBER(SEARCH("T4",coding!$I47)),1,0))</f>
        <v>0</v>
      </c>
      <c r="I47" s="1" t="n">
        <f aca="false">IF(coding!$I47="",0,IF(ISNUMBER(SEARCH("T5",coding!$I47)),1,0))</f>
        <v>0</v>
      </c>
      <c r="J47" s="1" t="n">
        <f aca="false">IF(coding!$I47="",0,IF(ISNUMBER(SEARCH("T6",coding!$I47)),1,0))</f>
        <v>0</v>
      </c>
      <c r="K47" s="1" t="n">
        <f aca="false">IF(coding!$I47="",0,IF(ISNUMBER(SEARCH("T7",coding!$I47)),1,0))</f>
        <v>0</v>
      </c>
      <c r="L47" s="1" t="n">
        <f aca="false">IF(coding!$I47="",0,IF(ISNUMBER(SEARCH("T8",coding!$I47)),1,0))</f>
        <v>0</v>
      </c>
      <c r="M47" s="1" t="n">
        <f aca="false">IF(coding!$I47="",0,IF(ISNUMBER(SEARCH("T9",coding!$I47)),1,0))</f>
        <v>0</v>
      </c>
      <c r="N47" s="1" t="n">
        <f aca="false">IF(coding!$J47="",0,IF(ISNUMBER(SEARCH("T1",coding!$J47)),1,0))</f>
        <v>0</v>
      </c>
      <c r="O47" s="1" t="n">
        <f aca="false">IF(coding!$J47="",0,IF(ISNUMBER(SEARCH("T2",coding!$J47)),1,0))</f>
        <v>0</v>
      </c>
      <c r="P47" s="1" t="n">
        <f aca="false">IF(coding!$J47="",0,IF(ISNUMBER(SEARCH("T3",coding!$J47)),1,0))</f>
        <v>0</v>
      </c>
      <c r="Q47" s="1" t="n">
        <f aca="false">IF(coding!$J47="",0,IF(ISNUMBER(SEARCH("T4",coding!$J47)),1,0))</f>
        <v>0</v>
      </c>
      <c r="R47" s="1" t="n">
        <f aca="false">IF(coding!$J47="",0,IF(ISNUMBER(SEARCH("T5",coding!$J47)),1,0))</f>
        <v>0</v>
      </c>
      <c r="S47" s="1" t="n">
        <f aca="false">IF(coding!$J47="",0,IF(ISNUMBER(SEARCH("T6",coding!$J47)),1,0))</f>
        <v>0</v>
      </c>
      <c r="T47" s="1" t="n">
        <f aca="false">IF(coding!$J47="",0,IF(ISNUMBER(SEARCH("T7",coding!$J47)),1,0))</f>
        <v>0</v>
      </c>
      <c r="U47" s="1" t="n">
        <f aca="false">IF(coding!$J47="",0,IF(ISNUMBER(SEARCH("T8",coding!$J47)),1,0))</f>
        <v>0</v>
      </c>
      <c r="V47" s="1" t="n">
        <f aca="false">IF(coding!$J47="",0,IF(ISNUMBER(SEARCH("T9",coding!$J47)),1,0))</f>
        <v>0</v>
      </c>
      <c r="W47" s="1" t="n">
        <f aca="false">IF(coding!$O47="",0,IF(ISNUMBER(SEARCH("T1",coding!$O47)),1,0))</f>
        <v>1</v>
      </c>
      <c r="X47" s="1" t="n">
        <f aca="false">IF(coding!$O47="",0,IF(ISNUMBER(SEARCH("T2",coding!$O47)),1,0))</f>
        <v>1</v>
      </c>
      <c r="Y47" s="1" t="n">
        <f aca="false">IF(coding!$O47="",0,IF(ISNUMBER(SEARCH("T3",coding!$O47)),1,0))</f>
        <v>0</v>
      </c>
      <c r="Z47" s="1" t="n">
        <f aca="false">IF(coding!$O47="",0,IF(ISNUMBER(SEARCH("T4",coding!$O47)),1,0))</f>
        <v>0</v>
      </c>
      <c r="AA47" s="1" t="n">
        <f aca="false">IF(coding!$O47="",0,IF(ISNUMBER(SEARCH("T5",coding!$O47)),1,0))</f>
        <v>0</v>
      </c>
      <c r="AB47" s="1" t="n">
        <f aca="false">IF(coding!$O47="",0,IF(ISNUMBER(SEARCH("T6",coding!$O47)),1,0))</f>
        <v>0</v>
      </c>
      <c r="AC47" s="1" t="n">
        <f aca="false">IF(coding!$O47="",0,IF(ISNUMBER(SEARCH("T7",coding!$O47)),1,0))</f>
        <v>0</v>
      </c>
      <c r="AD47" s="1" t="n">
        <f aca="false">IF(coding!$O47="",0,IF(ISNUMBER(SEARCH("T8",coding!$O47)),1,0))</f>
        <v>0</v>
      </c>
      <c r="AE47" s="1" t="n">
        <f aca="false">IF(coding!$O47="",0,IF(ISNUMBER(SEARCH("T9",coding!$O47)),1,0))</f>
        <v>0</v>
      </c>
      <c r="AF47" s="1" t="n">
        <f aca="false">SUMPRODUCT($E47:$M47,$N47:$V47)</f>
        <v>0</v>
      </c>
      <c r="AG47" s="1" t="n">
        <f aca="false">SUMPRODUCT(--(($E47:$M47+$N47:$V47)&gt;0))</f>
        <v>0</v>
      </c>
      <c r="AH47" s="1" t="str">
        <f aca="false">IF(AND($B47=1,$C47=1),IF($AG47=0,1,$AF47/$AG47),"")</f>
        <v/>
      </c>
      <c r="AI47" s="1" t="str">
        <f aca="false">IF(AND($B47=1,$C47=1),IF(coding!$I47=coding!$J47,1,0),"")</f>
        <v/>
      </c>
      <c r="AJ47" s="1" t="str">
        <f aca="false">IF($B47=1,IF(SUMPRODUCT(--(($E47:$M47+$W47:$AE47)&gt;0))=0,1,SUMPRODUCT($E47:$M47,$W47:$AE47)/SUMPRODUCT(--(($E47:$M47+$W47:$AE47)&gt;0))),"")</f>
        <v/>
      </c>
      <c r="AK47" s="1" t="str">
        <f aca="false">IF($C47=1,IF(SUMPRODUCT(--(($N47:$V47+$W47:$AE47)&gt;0))=0,1,SUMPRODUCT($N47:$V47,$W47:$AE47)/SUMPRODUCT(--(($N47:$V47+$W47:$AE47)&gt;0))),"")</f>
        <v/>
      </c>
    </row>
    <row r="48" customFormat="false" ht="15" hidden="false" customHeight="true" outlineLevel="0" collapsed="false">
      <c r="A48" s="1" t="str">
        <f aca="false">coding!$A48</f>
        <v>P047</v>
      </c>
      <c r="B48" s="1" t="n">
        <f aca="false">IF(coding!$I48="",0,1)</f>
        <v>0</v>
      </c>
      <c r="C48" s="1" t="n">
        <f aca="false">IF(coding!$J48="",0,1)</f>
        <v>0</v>
      </c>
      <c r="D48" s="1" t="n">
        <f aca="false">IF(coding!$O48="",0,1)</f>
        <v>1</v>
      </c>
      <c r="E48" s="1" t="n">
        <f aca="false">IF(coding!$I48="",0,IF(ISNUMBER(SEARCH("T1",coding!$I48)),1,0))</f>
        <v>0</v>
      </c>
      <c r="F48" s="1" t="n">
        <f aca="false">IF(coding!$I48="",0,IF(ISNUMBER(SEARCH("T2",coding!$I48)),1,0))</f>
        <v>0</v>
      </c>
      <c r="G48" s="1" t="n">
        <f aca="false">IF(coding!$I48="",0,IF(ISNUMBER(SEARCH("T3",coding!$I48)),1,0))</f>
        <v>0</v>
      </c>
      <c r="H48" s="1" t="n">
        <f aca="false">IF(coding!$I48="",0,IF(ISNUMBER(SEARCH("T4",coding!$I48)),1,0))</f>
        <v>0</v>
      </c>
      <c r="I48" s="1" t="n">
        <f aca="false">IF(coding!$I48="",0,IF(ISNUMBER(SEARCH("T5",coding!$I48)),1,0))</f>
        <v>0</v>
      </c>
      <c r="J48" s="1" t="n">
        <f aca="false">IF(coding!$I48="",0,IF(ISNUMBER(SEARCH("T6",coding!$I48)),1,0))</f>
        <v>0</v>
      </c>
      <c r="K48" s="1" t="n">
        <f aca="false">IF(coding!$I48="",0,IF(ISNUMBER(SEARCH("T7",coding!$I48)),1,0))</f>
        <v>0</v>
      </c>
      <c r="L48" s="1" t="n">
        <f aca="false">IF(coding!$I48="",0,IF(ISNUMBER(SEARCH("T8",coding!$I48)),1,0))</f>
        <v>0</v>
      </c>
      <c r="M48" s="1" t="n">
        <f aca="false">IF(coding!$I48="",0,IF(ISNUMBER(SEARCH("T9",coding!$I48)),1,0))</f>
        <v>0</v>
      </c>
      <c r="N48" s="1" t="n">
        <f aca="false">IF(coding!$J48="",0,IF(ISNUMBER(SEARCH("T1",coding!$J48)),1,0))</f>
        <v>0</v>
      </c>
      <c r="O48" s="1" t="n">
        <f aca="false">IF(coding!$J48="",0,IF(ISNUMBER(SEARCH("T2",coding!$J48)),1,0))</f>
        <v>0</v>
      </c>
      <c r="P48" s="1" t="n">
        <f aca="false">IF(coding!$J48="",0,IF(ISNUMBER(SEARCH("T3",coding!$J48)),1,0))</f>
        <v>0</v>
      </c>
      <c r="Q48" s="1" t="n">
        <f aca="false">IF(coding!$J48="",0,IF(ISNUMBER(SEARCH("T4",coding!$J48)),1,0))</f>
        <v>0</v>
      </c>
      <c r="R48" s="1" t="n">
        <f aca="false">IF(coding!$J48="",0,IF(ISNUMBER(SEARCH("T5",coding!$J48)),1,0))</f>
        <v>0</v>
      </c>
      <c r="S48" s="1" t="n">
        <f aca="false">IF(coding!$J48="",0,IF(ISNUMBER(SEARCH("T6",coding!$J48)),1,0))</f>
        <v>0</v>
      </c>
      <c r="T48" s="1" t="n">
        <f aca="false">IF(coding!$J48="",0,IF(ISNUMBER(SEARCH("T7",coding!$J48)),1,0))</f>
        <v>0</v>
      </c>
      <c r="U48" s="1" t="n">
        <f aca="false">IF(coding!$J48="",0,IF(ISNUMBER(SEARCH("T8",coding!$J48)),1,0))</f>
        <v>0</v>
      </c>
      <c r="V48" s="1" t="n">
        <f aca="false">IF(coding!$J48="",0,IF(ISNUMBER(SEARCH("T9",coding!$J48)),1,0))</f>
        <v>0</v>
      </c>
      <c r="W48" s="1" t="n">
        <f aca="false">IF(coding!$O48="",0,IF(ISNUMBER(SEARCH("T1",coding!$O48)),1,0))</f>
        <v>0</v>
      </c>
      <c r="X48" s="1" t="n">
        <f aca="false">IF(coding!$O48="",0,IF(ISNUMBER(SEARCH("T2",coding!$O48)),1,0))</f>
        <v>1</v>
      </c>
      <c r="Y48" s="1" t="n">
        <f aca="false">IF(coding!$O48="",0,IF(ISNUMBER(SEARCH("T3",coding!$O48)),1,0))</f>
        <v>0</v>
      </c>
      <c r="Z48" s="1" t="n">
        <f aca="false">IF(coding!$O48="",0,IF(ISNUMBER(SEARCH("T4",coding!$O48)),1,0))</f>
        <v>0</v>
      </c>
      <c r="AA48" s="1" t="n">
        <f aca="false">IF(coding!$O48="",0,IF(ISNUMBER(SEARCH("T5",coding!$O48)),1,0))</f>
        <v>0</v>
      </c>
      <c r="AB48" s="1" t="n">
        <f aca="false">IF(coding!$O48="",0,IF(ISNUMBER(SEARCH("T6",coding!$O48)),1,0))</f>
        <v>0</v>
      </c>
      <c r="AC48" s="1" t="n">
        <f aca="false">IF(coding!$O48="",0,IF(ISNUMBER(SEARCH("T7",coding!$O48)),1,0))</f>
        <v>0</v>
      </c>
      <c r="AD48" s="1" t="n">
        <f aca="false">IF(coding!$O48="",0,IF(ISNUMBER(SEARCH("T8",coding!$O48)),1,0))</f>
        <v>0</v>
      </c>
      <c r="AE48" s="1" t="n">
        <f aca="false">IF(coding!$O48="",0,IF(ISNUMBER(SEARCH("T9",coding!$O48)),1,0))</f>
        <v>0</v>
      </c>
      <c r="AF48" s="1" t="n">
        <f aca="false">SUMPRODUCT($E48:$M48,$N48:$V48)</f>
        <v>0</v>
      </c>
      <c r="AG48" s="1" t="n">
        <f aca="false">SUMPRODUCT(--(($E48:$M48+$N48:$V48)&gt;0))</f>
        <v>0</v>
      </c>
      <c r="AH48" s="1" t="str">
        <f aca="false">IF(AND($B48=1,$C48=1),IF($AG48=0,1,$AF48/$AG48),"")</f>
        <v/>
      </c>
      <c r="AI48" s="1" t="str">
        <f aca="false">IF(AND($B48=1,$C48=1),IF(coding!$I48=coding!$J48,1,0),"")</f>
        <v/>
      </c>
      <c r="AJ48" s="1" t="str">
        <f aca="false">IF($B48=1,IF(SUMPRODUCT(--(($E48:$M48+$W48:$AE48)&gt;0))=0,1,SUMPRODUCT($E48:$M48,$W48:$AE48)/SUMPRODUCT(--(($E48:$M48+$W48:$AE48)&gt;0))),"")</f>
        <v/>
      </c>
      <c r="AK48" s="1" t="str">
        <f aca="false">IF($C48=1,IF(SUMPRODUCT(--(($N48:$V48+$W48:$AE48)&gt;0))=0,1,SUMPRODUCT($N48:$V48,$W48:$AE48)/SUMPRODUCT(--(($N48:$V48+$W48:$AE48)&gt;0))),"")</f>
        <v/>
      </c>
    </row>
    <row r="49" customFormat="false" ht="15" hidden="false" customHeight="true" outlineLevel="0" collapsed="false">
      <c r="A49" s="1" t="str">
        <f aca="false">coding!$A49</f>
        <v>P048</v>
      </c>
      <c r="B49" s="1" t="n">
        <f aca="false">IF(coding!$I49="",0,1)</f>
        <v>0</v>
      </c>
      <c r="C49" s="1" t="n">
        <f aca="false">IF(coding!$J49="",0,1)</f>
        <v>0</v>
      </c>
      <c r="D49" s="1" t="n">
        <f aca="false">IF(coding!$O49="",0,1)</f>
        <v>1</v>
      </c>
      <c r="E49" s="1" t="n">
        <f aca="false">IF(coding!$I49="",0,IF(ISNUMBER(SEARCH("T1",coding!$I49)),1,0))</f>
        <v>0</v>
      </c>
      <c r="F49" s="1" t="n">
        <f aca="false">IF(coding!$I49="",0,IF(ISNUMBER(SEARCH("T2",coding!$I49)),1,0))</f>
        <v>0</v>
      </c>
      <c r="G49" s="1" t="n">
        <f aca="false">IF(coding!$I49="",0,IF(ISNUMBER(SEARCH("T3",coding!$I49)),1,0))</f>
        <v>0</v>
      </c>
      <c r="H49" s="1" t="n">
        <f aca="false">IF(coding!$I49="",0,IF(ISNUMBER(SEARCH("T4",coding!$I49)),1,0))</f>
        <v>0</v>
      </c>
      <c r="I49" s="1" t="n">
        <f aca="false">IF(coding!$I49="",0,IF(ISNUMBER(SEARCH("T5",coding!$I49)),1,0))</f>
        <v>0</v>
      </c>
      <c r="J49" s="1" t="n">
        <f aca="false">IF(coding!$I49="",0,IF(ISNUMBER(SEARCH("T6",coding!$I49)),1,0))</f>
        <v>0</v>
      </c>
      <c r="K49" s="1" t="n">
        <f aca="false">IF(coding!$I49="",0,IF(ISNUMBER(SEARCH("T7",coding!$I49)),1,0))</f>
        <v>0</v>
      </c>
      <c r="L49" s="1" t="n">
        <f aca="false">IF(coding!$I49="",0,IF(ISNUMBER(SEARCH("T8",coding!$I49)),1,0))</f>
        <v>0</v>
      </c>
      <c r="M49" s="1" t="n">
        <f aca="false">IF(coding!$I49="",0,IF(ISNUMBER(SEARCH("T9",coding!$I49)),1,0))</f>
        <v>0</v>
      </c>
      <c r="N49" s="1" t="n">
        <f aca="false">IF(coding!$J49="",0,IF(ISNUMBER(SEARCH("T1",coding!$J49)),1,0))</f>
        <v>0</v>
      </c>
      <c r="O49" s="1" t="n">
        <f aca="false">IF(coding!$J49="",0,IF(ISNUMBER(SEARCH("T2",coding!$J49)),1,0))</f>
        <v>0</v>
      </c>
      <c r="P49" s="1" t="n">
        <f aca="false">IF(coding!$J49="",0,IF(ISNUMBER(SEARCH("T3",coding!$J49)),1,0))</f>
        <v>0</v>
      </c>
      <c r="Q49" s="1" t="n">
        <f aca="false">IF(coding!$J49="",0,IF(ISNUMBER(SEARCH("T4",coding!$J49)),1,0))</f>
        <v>0</v>
      </c>
      <c r="R49" s="1" t="n">
        <f aca="false">IF(coding!$J49="",0,IF(ISNUMBER(SEARCH("T5",coding!$J49)),1,0))</f>
        <v>0</v>
      </c>
      <c r="S49" s="1" t="n">
        <f aca="false">IF(coding!$J49="",0,IF(ISNUMBER(SEARCH("T6",coding!$J49)),1,0))</f>
        <v>0</v>
      </c>
      <c r="T49" s="1" t="n">
        <f aca="false">IF(coding!$J49="",0,IF(ISNUMBER(SEARCH("T7",coding!$J49)),1,0))</f>
        <v>0</v>
      </c>
      <c r="U49" s="1" t="n">
        <f aca="false">IF(coding!$J49="",0,IF(ISNUMBER(SEARCH("T8",coding!$J49)),1,0))</f>
        <v>0</v>
      </c>
      <c r="V49" s="1" t="n">
        <f aca="false">IF(coding!$J49="",0,IF(ISNUMBER(SEARCH("T9",coding!$J49)),1,0))</f>
        <v>0</v>
      </c>
      <c r="W49" s="1" t="n">
        <f aca="false">IF(coding!$O49="",0,IF(ISNUMBER(SEARCH("T1",coding!$O49)),1,0))</f>
        <v>1</v>
      </c>
      <c r="X49" s="1" t="n">
        <f aca="false">IF(coding!$O49="",0,IF(ISNUMBER(SEARCH("T2",coding!$O49)),1,0))</f>
        <v>0</v>
      </c>
      <c r="Y49" s="1" t="n">
        <f aca="false">IF(coding!$O49="",0,IF(ISNUMBER(SEARCH("T3",coding!$O49)),1,0))</f>
        <v>0</v>
      </c>
      <c r="Z49" s="1" t="n">
        <f aca="false">IF(coding!$O49="",0,IF(ISNUMBER(SEARCH("T4",coding!$O49)),1,0))</f>
        <v>0</v>
      </c>
      <c r="AA49" s="1" t="n">
        <f aca="false">IF(coding!$O49="",0,IF(ISNUMBER(SEARCH("T5",coding!$O49)),1,0))</f>
        <v>0</v>
      </c>
      <c r="AB49" s="1" t="n">
        <f aca="false">IF(coding!$O49="",0,IF(ISNUMBER(SEARCH("T6",coding!$O49)),1,0))</f>
        <v>0</v>
      </c>
      <c r="AC49" s="1" t="n">
        <f aca="false">IF(coding!$O49="",0,IF(ISNUMBER(SEARCH("T7",coding!$O49)),1,0))</f>
        <v>0</v>
      </c>
      <c r="AD49" s="1" t="n">
        <f aca="false">IF(coding!$O49="",0,IF(ISNUMBER(SEARCH("T8",coding!$O49)),1,0))</f>
        <v>0</v>
      </c>
      <c r="AE49" s="1" t="n">
        <f aca="false">IF(coding!$O49="",0,IF(ISNUMBER(SEARCH("T9",coding!$O49)),1,0))</f>
        <v>0</v>
      </c>
      <c r="AF49" s="1" t="n">
        <f aca="false">SUMPRODUCT($E49:$M49,$N49:$V49)</f>
        <v>0</v>
      </c>
      <c r="AG49" s="1" t="n">
        <f aca="false">SUMPRODUCT(--(($E49:$M49+$N49:$V49)&gt;0))</f>
        <v>0</v>
      </c>
      <c r="AH49" s="1" t="str">
        <f aca="false">IF(AND($B49=1,$C49=1),IF($AG49=0,1,$AF49/$AG49),"")</f>
        <v/>
      </c>
      <c r="AI49" s="1" t="str">
        <f aca="false">IF(AND($B49=1,$C49=1),IF(coding!$I49=coding!$J49,1,0),"")</f>
        <v/>
      </c>
      <c r="AJ49" s="1" t="str">
        <f aca="false">IF($B49=1,IF(SUMPRODUCT(--(($E49:$M49+$W49:$AE49)&gt;0))=0,1,SUMPRODUCT($E49:$M49,$W49:$AE49)/SUMPRODUCT(--(($E49:$M49+$W49:$AE49)&gt;0))),"")</f>
        <v/>
      </c>
      <c r="AK49" s="1" t="str">
        <f aca="false">IF($C49=1,IF(SUMPRODUCT(--(($N49:$V49+$W49:$AE49)&gt;0))=0,1,SUMPRODUCT($N49:$V49,$W49:$AE49)/SUMPRODUCT(--(($N49:$V49+$W49:$AE49)&gt;0))),"")</f>
        <v/>
      </c>
    </row>
    <row r="50" customFormat="false" ht="15" hidden="false" customHeight="true" outlineLevel="0" collapsed="false">
      <c r="A50" s="1" t="str">
        <f aca="false">coding!$A50</f>
        <v>P049</v>
      </c>
      <c r="B50" s="1" t="n">
        <f aca="false">IF(coding!$I50="",0,1)</f>
        <v>0</v>
      </c>
      <c r="C50" s="1" t="n">
        <f aca="false">IF(coding!$J50="",0,1)</f>
        <v>0</v>
      </c>
      <c r="D50" s="1" t="n">
        <f aca="false">IF(coding!$O50="",0,1)</f>
        <v>1</v>
      </c>
      <c r="E50" s="1" t="n">
        <f aca="false">IF(coding!$I50="",0,IF(ISNUMBER(SEARCH("T1",coding!$I50)),1,0))</f>
        <v>0</v>
      </c>
      <c r="F50" s="1" t="n">
        <f aca="false">IF(coding!$I50="",0,IF(ISNUMBER(SEARCH("T2",coding!$I50)),1,0))</f>
        <v>0</v>
      </c>
      <c r="G50" s="1" t="n">
        <f aca="false">IF(coding!$I50="",0,IF(ISNUMBER(SEARCH("T3",coding!$I50)),1,0))</f>
        <v>0</v>
      </c>
      <c r="H50" s="1" t="n">
        <f aca="false">IF(coding!$I50="",0,IF(ISNUMBER(SEARCH("T4",coding!$I50)),1,0))</f>
        <v>0</v>
      </c>
      <c r="I50" s="1" t="n">
        <f aca="false">IF(coding!$I50="",0,IF(ISNUMBER(SEARCH("T5",coding!$I50)),1,0))</f>
        <v>0</v>
      </c>
      <c r="J50" s="1" t="n">
        <f aca="false">IF(coding!$I50="",0,IF(ISNUMBER(SEARCH("T6",coding!$I50)),1,0))</f>
        <v>0</v>
      </c>
      <c r="K50" s="1" t="n">
        <f aca="false">IF(coding!$I50="",0,IF(ISNUMBER(SEARCH("T7",coding!$I50)),1,0))</f>
        <v>0</v>
      </c>
      <c r="L50" s="1" t="n">
        <f aca="false">IF(coding!$I50="",0,IF(ISNUMBER(SEARCH("T8",coding!$I50)),1,0))</f>
        <v>0</v>
      </c>
      <c r="M50" s="1" t="n">
        <f aca="false">IF(coding!$I50="",0,IF(ISNUMBER(SEARCH("T9",coding!$I50)),1,0))</f>
        <v>0</v>
      </c>
      <c r="N50" s="1" t="n">
        <f aca="false">IF(coding!$J50="",0,IF(ISNUMBER(SEARCH("T1",coding!$J50)),1,0))</f>
        <v>0</v>
      </c>
      <c r="O50" s="1" t="n">
        <f aca="false">IF(coding!$J50="",0,IF(ISNUMBER(SEARCH("T2",coding!$J50)),1,0))</f>
        <v>0</v>
      </c>
      <c r="P50" s="1" t="n">
        <f aca="false">IF(coding!$J50="",0,IF(ISNUMBER(SEARCH("T3",coding!$J50)),1,0))</f>
        <v>0</v>
      </c>
      <c r="Q50" s="1" t="n">
        <f aca="false">IF(coding!$J50="",0,IF(ISNUMBER(SEARCH("T4",coding!$J50)),1,0))</f>
        <v>0</v>
      </c>
      <c r="R50" s="1" t="n">
        <f aca="false">IF(coding!$J50="",0,IF(ISNUMBER(SEARCH("T5",coding!$J50)),1,0))</f>
        <v>0</v>
      </c>
      <c r="S50" s="1" t="n">
        <f aca="false">IF(coding!$J50="",0,IF(ISNUMBER(SEARCH("T6",coding!$J50)),1,0))</f>
        <v>0</v>
      </c>
      <c r="T50" s="1" t="n">
        <f aca="false">IF(coding!$J50="",0,IF(ISNUMBER(SEARCH("T7",coding!$J50)),1,0))</f>
        <v>0</v>
      </c>
      <c r="U50" s="1" t="n">
        <f aca="false">IF(coding!$J50="",0,IF(ISNUMBER(SEARCH("T8",coding!$J50)),1,0))</f>
        <v>0</v>
      </c>
      <c r="V50" s="1" t="n">
        <f aca="false">IF(coding!$J50="",0,IF(ISNUMBER(SEARCH("T9",coding!$J50)),1,0))</f>
        <v>0</v>
      </c>
      <c r="W50" s="1" t="n">
        <f aca="false">IF(coding!$O50="",0,IF(ISNUMBER(SEARCH("T1",coding!$O50)),1,0))</f>
        <v>0</v>
      </c>
      <c r="X50" s="1" t="n">
        <f aca="false">IF(coding!$O50="",0,IF(ISNUMBER(SEARCH("T2",coding!$O50)),1,0))</f>
        <v>1</v>
      </c>
      <c r="Y50" s="1" t="n">
        <f aca="false">IF(coding!$O50="",0,IF(ISNUMBER(SEARCH("T3",coding!$O50)),1,0))</f>
        <v>0</v>
      </c>
      <c r="Z50" s="1" t="n">
        <f aca="false">IF(coding!$O50="",0,IF(ISNUMBER(SEARCH("T4",coding!$O50)),1,0))</f>
        <v>1</v>
      </c>
      <c r="AA50" s="1" t="n">
        <f aca="false">IF(coding!$O50="",0,IF(ISNUMBER(SEARCH("T5",coding!$O50)),1,0))</f>
        <v>0</v>
      </c>
      <c r="AB50" s="1" t="n">
        <f aca="false">IF(coding!$O50="",0,IF(ISNUMBER(SEARCH("T6",coding!$O50)),1,0))</f>
        <v>0</v>
      </c>
      <c r="AC50" s="1" t="n">
        <f aca="false">IF(coding!$O50="",0,IF(ISNUMBER(SEARCH("T7",coding!$O50)),1,0))</f>
        <v>0</v>
      </c>
      <c r="AD50" s="1" t="n">
        <f aca="false">IF(coding!$O50="",0,IF(ISNUMBER(SEARCH("T8",coding!$O50)),1,0))</f>
        <v>0</v>
      </c>
      <c r="AE50" s="1" t="n">
        <f aca="false">IF(coding!$O50="",0,IF(ISNUMBER(SEARCH("T9",coding!$O50)),1,0))</f>
        <v>0</v>
      </c>
      <c r="AF50" s="1" t="n">
        <f aca="false">SUMPRODUCT($E50:$M50,$N50:$V50)</f>
        <v>0</v>
      </c>
      <c r="AG50" s="1" t="n">
        <f aca="false">SUMPRODUCT(--(($E50:$M50+$N50:$V50)&gt;0))</f>
        <v>0</v>
      </c>
      <c r="AH50" s="1" t="str">
        <f aca="false">IF(AND($B50=1,$C50=1),IF($AG50=0,1,$AF50/$AG50),"")</f>
        <v/>
      </c>
      <c r="AI50" s="1" t="str">
        <f aca="false">IF(AND($B50=1,$C50=1),IF(coding!$I50=coding!$J50,1,0),"")</f>
        <v/>
      </c>
      <c r="AJ50" s="1" t="str">
        <f aca="false">IF($B50=1,IF(SUMPRODUCT(--(($E50:$M50+$W50:$AE50)&gt;0))=0,1,SUMPRODUCT($E50:$M50,$W50:$AE50)/SUMPRODUCT(--(($E50:$M50+$W50:$AE50)&gt;0))),"")</f>
        <v/>
      </c>
      <c r="AK50" s="1" t="str">
        <f aca="false">IF($C50=1,IF(SUMPRODUCT(--(($N50:$V50+$W50:$AE50)&gt;0))=0,1,SUMPRODUCT($N50:$V50,$W50:$AE50)/SUMPRODUCT(--(($N50:$V50+$W50:$AE50)&gt;0))),"")</f>
        <v/>
      </c>
    </row>
    <row r="51" customFormat="false" ht="15" hidden="false" customHeight="true" outlineLevel="0" collapsed="false">
      <c r="A51" s="1" t="str">
        <f aca="false">coding!$A51</f>
        <v>P050</v>
      </c>
      <c r="B51" s="1" t="n">
        <f aca="false">IF(coding!$I51="",0,1)</f>
        <v>0</v>
      </c>
      <c r="C51" s="1" t="n">
        <f aca="false">IF(coding!$J51="",0,1)</f>
        <v>0</v>
      </c>
      <c r="D51" s="1" t="n">
        <f aca="false">IF(coding!$O51="",0,1)</f>
        <v>1</v>
      </c>
      <c r="E51" s="1" t="n">
        <f aca="false">IF(coding!$I51="",0,IF(ISNUMBER(SEARCH("T1",coding!$I51)),1,0))</f>
        <v>0</v>
      </c>
      <c r="F51" s="1" t="n">
        <f aca="false">IF(coding!$I51="",0,IF(ISNUMBER(SEARCH("T2",coding!$I51)),1,0))</f>
        <v>0</v>
      </c>
      <c r="G51" s="1" t="n">
        <f aca="false">IF(coding!$I51="",0,IF(ISNUMBER(SEARCH("T3",coding!$I51)),1,0))</f>
        <v>0</v>
      </c>
      <c r="H51" s="1" t="n">
        <f aca="false">IF(coding!$I51="",0,IF(ISNUMBER(SEARCH("T4",coding!$I51)),1,0))</f>
        <v>0</v>
      </c>
      <c r="I51" s="1" t="n">
        <f aca="false">IF(coding!$I51="",0,IF(ISNUMBER(SEARCH("T5",coding!$I51)),1,0))</f>
        <v>0</v>
      </c>
      <c r="J51" s="1" t="n">
        <f aca="false">IF(coding!$I51="",0,IF(ISNUMBER(SEARCH("T6",coding!$I51)),1,0))</f>
        <v>0</v>
      </c>
      <c r="K51" s="1" t="n">
        <f aca="false">IF(coding!$I51="",0,IF(ISNUMBER(SEARCH("T7",coding!$I51)),1,0))</f>
        <v>0</v>
      </c>
      <c r="L51" s="1" t="n">
        <f aca="false">IF(coding!$I51="",0,IF(ISNUMBER(SEARCH("T8",coding!$I51)),1,0))</f>
        <v>0</v>
      </c>
      <c r="M51" s="1" t="n">
        <f aca="false">IF(coding!$I51="",0,IF(ISNUMBER(SEARCH("T9",coding!$I51)),1,0))</f>
        <v>0</v>
      </c>
      <c r="N51" s="1" t="n">
        <f aca="false">IF(coding!$J51="",0,IF(ISNUMBER(SEARCH("T1",coding!$J51)),1,0))</f>
        <v>0</v>
      </c>
      <c r="O51" s="1" t="n">
        <f aca="false">IF(coding!$J51="",0,IF(ISNUMBER(SEARCH("T2",coding!$J51)),1,0))</f>
        <v>0</v>
      </c>
      <c r="P51" s="1" t="n">
        <f aca="false">IF(coding!$J51="",0,IF(ISNUMBER(SEARCH("T3",coding!$J51)),1,0))</f>
        <v>0</v>
      </c>
      <c r="Q51" s="1" t="n">
        <f aca="false">IF(coding!$J51="",0,IF(ISNUMBER(SEARCH("T4",coding!$J51)),1,0))</f>
        <v>0</v>
      </c>
      <c r="R51" s="1" t="n">
        <f aca="false">IF(coding!$J51="",0,IF(ISNUMBER(SEARCH("T5",coding!$J51)),1,0))</f>
        <v>0</v>
      </c>
      <c r="S51" s="1" t="n">
        <f aca="false">IF(coding!$J51="",0,IF(ISNUMBER(SEARCH("T6",coding!$J51)),1,0))</f>
        <v>0</v>
      </c>
      <c r="T51" s="1" t="n">
        <f aca="false">IF(coding!$J51="",0,IF(ISNUMBER(SEARCH("T7",coding!$J51)),1,0))</f>
        <v>0</v>
      </c>
      <c r="U51" s="1" t="n">
        <f aca="false">IF(coding!$J51="",0,IF(ISNUMBER(SEARCH("T8",coding!$J51)),1,0))</f>
        <v>0</v>
      </c>
      <c r="V51" s="1" t="n">
        <f aca="false">IF(coding!$J51="",0,IF(ISNUMBER(SEARCH("T9",coding!$J51)),1,0))</f>
        <v>0</v>
      </c>
      <c r="W51" s="1" t="n">
        <f aca="false">IF(coding!$O51="",0,IF(ISNUMBER(SEARCH("T1",coding!$O51)),1,0))</f>
        <v>1</v>
      </c>
      <c r="X51" s="1" t="n">
        <f aca="false">IF(coding!$O51="",0,IF(ISNUMBER(SEARCH("T2",coding!$O51)),1,0))</f>
        <v>1</v>
      </c>
      <c r="Y51" s="1" t="n">
        <f aca="false">IF(coding!$O51="",0,IF(ISNUMBER(SEARCH("T3",coding!$O51)),1,0))</f>
        <v>0</v>
      </c>
      <c r="Z51" s="1" t="n">
        <f aca="false">IF(coding!$O51="",0,IF(ISNUMBER(SEARCH("T4",coding!$O51)),1,0))</f>
        <v>0</v>
      </c>
      <c r="AA51" s="1" t="n">
        <f aca="false">IF(coding!$O51="",0,IF(ISNUMBER(SEARCH("T5",coding!$O51)),1,0))</f>
        <v>0</v>
      </c>
      <c r="AB51" s="1" t="n">
        <f aca="false">IF(coding!$O51="",0,IF(ISNUMBER(SEARCH("T6",coding!$O51)),1,0))</f>
        <v>0</v>
      </c>
      <c r="AC51" s="1" t="n">
        <f aca="false">IF(coding!$O51="",0,IF(ISNUMBER(SEARCH("T7",coding!$O51)),1,0))</f>
        <v>0</v>
      </c>
      <c r="AD51" s="1" t="n">
        <f aca="false">IF(coding!$O51="",0,IF(ISNUMBER(SEARCH("T8",coding!$O51)),1,0))</f>
        <v>0</v>
      </c>
      <c r="AE51" s="1" t="n">
        <f aca="false">IF(coding!$O51="",0,IF(ISNUMBER(SEARCH("T9",coding!$O51)),1,0))</f>
        <v>0</v>
      </c>
      <c r="AF51" s="1" t="n">
        <f aca="false">SUMPRODUCT($E51:$M51,$N51:$V51)</f>
        <v>0</v>
      </c>
      <c r="AG51" s="1" t="n">
        <f aca="false">SUMPRODUCT(--(($E51:$M51+$N51:$V51)&gt;0))</f>
        <v>0</v>
      </c>
      <c r="AH51" s="1" t="str">
        <f aca="false">IF(AND($B51=1,$C51=1),IF($AG51=0,1,$AF51/$AG51),"")</f>
        <v/>
      </c>
      <c r="AI51" s="1" t="str">
        <f aca="false">IF(AND($B51=1,$C51=1),IF(coding!$I51=coding!$J51,1,0),"")</f>
        <v/>
      </c>
      <c r="AJ51" s="1" t="str">
        <f aca="false">IF($B51=1,IF(SUMPRODUCT(--(($E51:$M51+$W51:$AE51)&gt;0))=0,1,SUMPRODUCT($E51:$M51,$W51:$AE51)/SUMPRODUCT(--(($E51:$M51+$W51:$AE51)&gt;0))),"")</f>
        <v/>
      </c>
      <c r="AK51" s="1" t="str">
        <f aca="false">IF($C51=1,IF(SUMPRODUCT(--(($N51:$V51+$W51:$AE51)&gt;0))=0,1,SUMPRODUCT($N51:$V51,$W51:$AE51)/SUMPRODUCT(--(($N51:$V51+$W51:$AE51)&gt;0))),"")</f>
        <v/>
      </c>
    </row>
    <row r="52" customFormat="false" ht="15" hidden="false" customHeight="true" outlineLevel="0" collapsed="false">
      <c r="A52" s="1" t="str">
        <f aca="false">coding!$A52</f>
        <v>P051</v>
      </c>
      <c r="B52" s="1" t="n">
        <f aca="false">IF(coding!$I52="",0,1)</f>
        <v>0</v>
      </c>
      <c r="C52" s="1" t="n">
        <f aca="false">IF(coding!$J52="",0,1)</f>
        <v>0</v>
      </c>
      <c r="D52" s="1" t="n">
        <f aca="false">IF(coding!$O52="",0,1)</f>
        <v>1</v>
      </c>
      <c r="E52" s="1" t="n">
        <f aca="false">IF(coding!$I52="",0,IF(ISNUMBER(SEARCH("T1",coding!$I52)),1,0))</f>
        <v>0</v>
      </c>
      <c r="F52" s="1" t="n">
        <f aca="false">IF(coding!$I52="",0,IF(ISNUMBER(SEARCH("T2",coding!$I52)),1,0))</f>
        <v>0</v>
      </c>
      <c r="G52" s="1" t="n">
        <f aca="false">IF(coding!$I52="",0,IF(ISNUMBER(SEARCH("T3",coding!$I52)),1,0))</f>
        <v>0</v>
      </c>
      <c r="H52" s="1" t="n">
        <f aca="false">IF(coding!$I52="",0,IF(ISNUMBER(SEARCH("T4",coding!$I52)),1,0))</f>
        <v>0</v>
      </c>
      <c r="I52" s="1" t="n">
        <f aca="false">IF(coding!$I52="",0,IF(ISNUMBER(SEARCH("T5",coding!$I52)),1,0))</f>
        <v>0</v>
      </c>
      <c r="J52" s="1" t="n">
        <f aca="false">IF(coding!$I52="",0,IF(ISNUMBER(SEARCH("T6",coding!$I52)),1,0))</f>
        <v>0</v>
      </c>
      <c r="K52" s="1" t="n">
        <f aca="false">IF(coding!$I52="",0,IF(ISNUMBER(SEARCH("T7",coding!$I52)),1,0))</f>
        <v>0</v>
      </c>
      <c r="L52" s="1" t="n">
        <f aca="false">IF(coding!$I52="",0,IF(ISNUMBER(SEARCH("T8",coding!$I52)),1,0))</f>
        <v>0</v>
      </c>
      <c r="M52" s="1" t="n">
        <f aca="false">IF(coding!$I52="",0,IF(ISNUMBER(SEARCH("T9",coding!$I52)),1,0))</f>
        <v>0</v>
      </c>
      <c r="N52" s="1" t="n">
        <f aca="false">IF(coding!$J52="",0,IF(ISNUMBER(SEARCH("T1",coding!$J52)),1,0))</f>
        <v>0</v>
      </c>
      <c r="O52" s="1" t="n">
        <f aca="false">IF(coding!$J52="",0,IF(ISNUMBER(SEARCH("T2",coding!$J52)),1,0))</f>
        <v>0</v>
      </c>
      <c r="P52" s="1" t="n">
        <f aca="false">IF(coding!$J52="",0,IF(ISNUMBER(SEARCH("T3",coding!$J52)),1,0))</f>
        <v>0</v>
      </c>
      <c r="Q52" s="1" t="n">
        <f aca="false">IF(coding!$J52="",0,IF(ISNUMBER(SEARCH("T4",coding!$J52)),1,0))</f>
        <v>0</v>
      </c>
      <c r="R52" s="1" t="n">
        <f aca="false">IF(coding!$J52="",0,IF(ISNUMBER(SEARCH("T5",coding!$J52)),1,0))</f>
        <v>0</v>
      </c>
      <c r="S52" s="1" t="n">
        <f aca="false">IF(coding!$J52="",0,IF(ISNUMBER(SEARCH("T6",coding!$J52)),1,0))</f>
        <v>0</v>
      </c>
      <c r="T52" s="1" t="n">
        <f aca="false">IF(coding!$J52="",0,IF(ISNUMBER(SEARCH("T7",coding!$J52)),1,0))</f>
        <v>0</v>
      </c>
      <c r="U52" s="1" t="n">
        <f aca="false">IF(coding!$J52="",0,IF(ISNUMBER(SEARCH("T8",coding!$J52)),1,0))</f>
        <v>0</v>
      </c>
      <c r="V52" s="1" t="n">
        <f aca="false">IF(coding!$J52="",0,IF(ISNUMBER(SEARCH("T9",coding!$J52)),1,0))</f>
        <v>0</v>
      </c>
      <c r="W52" s="1" t="n">
        <f aca="false">IF(coding!$O52="",0,IF(ISNUMBER(SEARCH("T1",coding!$O52)),1,0))</f>
        <v>1</v>
      </c>
      <c r="X52" s="1" t="n">
        <f aca="false">IF(coding!$O52="",0,IF(ISNUMBER(SEARCH("T2",coding!$O52)),1,0))</f>
        <v>1</v>
      </c>
      <c r="Y52" s="1" t="n">
        <f aca="false">IF(coding!$O52="",0,IF(ISNUMBER(SEARCH("T3",coding!$O52)),1,0))</f>
        <v>0</v>
      </c>
      <c r="Z52" s="1" t="n">
        <f aca="false">IF(coding!$O52="",0,IF(ISNUMBER(SEARCH("T4",coding!$O52)),1,0))</f>
        <v>0</v>
      </c>
      <c r="AA52" s="1" t="n">
        <f aca="false">IF(coding!$O52="",0,IF(ISNUMBER(SEARCH("T5",coding!$O52)),1,0))</f>
        <v>0</v>
      </c>
      <c r="AB52" s="1" t="n">
        <f aca="false">IF(coding!$O52="",0,IF(ISNUMBER(SEARCH("T6",coding!$O52)),1,0))</f>
        <v>0</v>
      </c>
      <c r="AC52" s="1" t="n">
        <f aca="false">IF(coding!$O52="",0,IF(ISNUMBER(SEARCH("T7",coding!$O52)),1,0))</f>
        <v>0</v>
      </c>
      <c r="AD52" s="1" t="n">
        <f aca="false">IF(coding!$O52="",0,IF(ISNUMBER(SEARCH("T8",coding!$O52)),1,0))</f>
        <v>0</v>
      </c>
      <c r="AE52" s="1" t="n">
        <f aca="false">IF(coding!$O52="",0,IF(ISNUMBER(SEARCH("T9",coding!$O52)),1,0))</f>
        <v>0</v>
      </c>
      <c r="AF52" s="1" t="n">
        <f aca="false">SUMPRODUCT($E52:$M52,$N52:$V52)</f>
        <v>0</v>
      </c>
      <c r="AG52" s="1" t="n">
        <f aca="false">SUMPRODUCT(--(($E52:$M52+$N52:$V52)&gt;0))</f>
        <v>0</v>
      </c>
      <c r="AH52" s="1" t="str">
        <f aca="false">IF(AND($B52=1,$C52=1),IF($AG52=0,1,$AF52/$AG52),"")</f>
        <v/>
      </c>
      <c r="AI52" s="1" t="str">
        <f aca="false">IF(AND($B52=1,$C52=1),IF(coding!$I52=coding!$J52,1,0),"")</f>
        <v/>
      </c>
      <c r="AJ52" s="1" t="str">
        <f aca="false">IF($B52=1,IF(SUMPRODUCT(--(($E52:$M52+$W52:$AE52)&gt;0))=0,1,SUMPRODUCT($E52:$M52,$W52:$AE52)/SUMPRODUCT(--(($E52:$M52+$W52:$AE52)&gt;0))),"")</f>
        <v/>
      </c>
      <c r="AK52" s="1" t="str">
        <f aca="false">IF($C52=1,IF(SUMPRODUCT(--(($N52:$V52+$W52:$AE52)&gt;0))=0,1,SUMPRODUCT($N52:$V52,$W52:$AE52)/SUMPRODUCT(--(($N52:$V52+$W52:$AE52)&gt;0))),"")</f>
        <v/>
      </c>
    </row>
    <row r="53" customFormat="false" ht="15" hidden="false" customHeight="true" outlineLevel="0" collapsed="false">
      <c r="A53" s="1" t="str">
        <f aca="false">coding!$A53</f>
        <v>P052</v>
      </c>
      <c r="B53" s="1" t="n">
        <f aca="false">IF(coding!$I53="",0,1)</f>
        <v>0</v>
      </c>
      <c r="C53" s="1" t="n">
        <f aca="false">IF(coding!$J53="",0,1)</f>
        <v>0</v>
      </c>
      <c r="D53" s="1" t="n">
        <f aca="false">IF(coding!$O53="",0,1)</f>
        <v>1</v>
      </c>
      <c r="E53" s="1" t="n">
        <f aca="false">IF(coding!$I53="",0,IF(ISNUMBER(SEARCH("T1",coding!$I53)),1,0))</f>
        <v>0</v>
      </c>
      <c r="F53" s="1" t="n">
        <f aca="false">IF(coding!$I53="",0,IF(ISNUMBER(SEARCH("T2",coding!$I53)),1,0))</f>
        <v>0</v>
      </c>
      <c r="G53" s="1" t="n">
        <f aca="false">IF(coding!$I53="",0,IF(ISNUMBER(SEARCH("T3",coding!$I53)),1,0))</f>
        <v>0</v>
      </c>
      <c r="H53" s="1" t="n">
        <f aca="false">IF(coding!$I53="",0,IF(ISNUMBER(SEARCH("T4",coding!$I53)),1,0))</f>
        <v>0</v>
      </c>
      <c r="I53" s="1" t="n">
        <f aca="false">IF(coding!$I53="",0,IF(ISNUMBER(SEARCH("T5",coding!$I53)),1,0))</f>
        <v>0</v>
      </c>
      <c r="J53" s="1" t="n">
        <f aca="false">IF(coding!$I53="",0,IF(ISNUMBER(SEARCH("T6",coding!$I53)),1,0))</f>
        <v>0</v>
      </c>
      <c r="K53" s="1" t="n">
        <f aca="false">IF(coding!$I53="",0,IF(ISNUMBER(SEARCH("T7",coding!$I53)),1,0))</f>
        <v>0</v>
      </c>
      <c r="L53" s="1" t="n">
        <f aca="false">IF(coding!$I53="",0,IF(ISNUMBER(SEARCH("T8",coding!$I53)),1,0))</f>
        <v>0</v>
      </c>
      <c r="M53" s="1" t="n">
        <f aca="false">IF(coding!$I53="",0,IF(ISNUMBER(SEARCH("T9",coding!$I53)),1,0))</f>
        <v>0</v>
      </c>
      <c r="N53" s="1" t="n">
        <f aca="false">IF(coding!$J53="",0,IF(ISNUMBER(SEARCH("T1",coding!$J53)),1,0))</f>
        <v>0</v>
      </c>
      <c r="O53" s="1" t="n">
        <f aca="false">IF(coding!$J53="",0,IF(ISNUMBER(SEARCH("T2",coding!$J53)),1,0))</f>
        <v>0</v>
      </c>
      <c r="P53" s="1" t="n">
        <f aca="false">IF(coding!$J53="",0,IF(ISNUMBER(SEARCH("T3",coding!$J53)),1,0))</f>
        <v>0</v>
      </c>
      <c r="Q53" s="1" t="n">
        <f aca="false">IF(coding!$J53="",0,IF(ISNUMBER(SEARCH("T4",coding!$J53)),1,0))</f>
        <v>0</v>
      </c>
      <c r="R53" s="1" t="n">
        <f aca="false">IF(coding!$J53="",0,IF(ISNUMBER(SEARCH("T5",coding!$J53)),1,0))</f>
        <v>0</v>
      </c>
      <c r="S53" s="1" t="n">
        <f aca="false">IF(coding!$J53="",0,IF(ISNUMBER(SEARCH("T6",coding!$J53)),1,0))</f>
        <v>0</v>
      </c>
      <c r="T53" s="1" t="n">
        <f aca="false">IF(coding!$J53="",0,IF(ISNUMBER(SEARCH("T7",coding!$J53)),1,0))</f>
        <v>0</v>
      </c>
      <c r="U53" s="1" t="n">
        <f aca="false">IF(coding!$J53="",0,IF(ISNUMBER(SEARCH("T8",coding!$J53)),1,0))</f>
        <v>0</v>
      </c>
      <c r="V53" s="1" t="n">
        <f aca="false">IF(coding!$J53="",0,IF(ISNUMBER(SEARCH("T9",coding!$J53)),1,0))</f>
        <v>0</v>
      </c>
      <c r="W53" s="1" t="n">
        <f aca="false">IF(coding!$O53="",0,IF(ISNUMBER(SEARCH("T1",coding!$O53)),1,0))</f>
        <v>1</v>
      </c>
      <c r="X53" s="1" t="n">
        <f aca="false">IF(coding!$O53="",0,IF(ISNUMBER(SEARCH("T2",coding!$O53)),1,0))</f>
        <v>1</v>
      </c>
      <c r="Y53" s="1" t="n">
        <f aca="false">IF(coding!$O53="",0,IF(ISNUMBER(SEARCH("T3",coding!$O53)),1,0))</f>
        <v>0</v>
      </c>
      <c r="Z53" s="1" t="n">
        <f aca="false">IF(coding!$O53="",0,IF(ISNUMBER(SEARCH("T4",coding!$O53)),1,0))</f>
        <v>0</v>
      </c>
      <c r="AA53" s="1" t="n">
        <f aca="false">IF(coding!$O53="",0,IF(ISNUMBER(SEARCH("T5",coding!$O53)),1,0))</f>
        <v>0</v>
      </c>
      <c r="AB53" s="1" t="n">
        <f aca="false">IF(coding!$O53="",0,IF(ISNUMBER(SEARCH("T6",coding!$O53)),1,0))</f>
        <v>0</v>
      </c>
      <c r="AC53" s="1" t="n">
        <f aca="false">IF(coding!$O53="",0,IF(ISNUMBER(SEARCH("T7",coding!$O53)),1,0))</f>
        <v>0</v>
      </c>
      <c r="AD53" s="1" t="n">
        <f aca="false">IF(coding!$O53="",0,IF(ISNUMBER(SEARCH("T8",coding!$O53)),1,0))</f>
        <v>0</v>
      </c>
      <c r="AE53" s="1" t="n">
        <f aca="false">IF(coding!$O53="",0,IF(ISNUMBER(SEARCH("T9",coding!$O53)),1,0))</f>
        <v>0</v>
      </c>
      <c r="AF53" s="1" t="n">
        <f aca="false">SUMPRODUCT($E53:$M53,$N53:$V53)</f>
        <v>0</v>
      </c>
      <c r="AG53" s="1" t="n">
        <f aca="false">SUMPRODUCT(--(($E53:$M53+$N53:$V53)&gt;0))</f>
        <v>0</v>
      </c>
      <c r="AH53" s="1" t="str">
        <f aca="false">IF(AND($B53=1,$C53=1),IF($AG53=0,1,$AF53/$AG53),"")</f>
        <v/>
      </c>
      <c r="AI53" s="1" t="str">
        <f aca="false">IF(AND($B53=1,$C53=1),IF(coding!$I53=coding!$J53,1,0),"")</f>
        <v/>
      </c>
      <c r="AJ53" s="1" t="str">
        <f aca="false">IF($B53=1,IF(SUMPRODUCT(--(($E53:$M53+$W53:$AE53)&gt;0))=0,1,SUMPRODUCT($E53:$M53,$W53:$AE53)/SUMPRODUCT(--(($E53:$M53+$W53:$AE53)&gt;0))),"")</f>
        <v/>
      </c>
      <c r="AK53" s="1" t="str">
        <f aca="false">IF($C53=1,IF(SUMPRODUCT(--(($N53:$V53+$W53:$AE53)&gt;0))=0,1,SUMPRODUCT($N53:$V53,$W53:$AE53)/SUMPRODUCT(--(($N53:$V53+$W53:$AE53)&gt;0))),"")</f>
        <v/>
      </c>
    </row>
    <row r="54" customFormat="false" ht="15" hidden="false" customHeight="true" outlineLevel="0" collapsed="false">
      <c r="A54" s="1" t="str">
        <f aca="false">coding!$A54</f>
        <v>P053</v>
      </c>
      <c r="B54" s="1" t="n">
        <f aca="false">IF(coding!$I54="",0,1)</f>
        <v>0</v>
      </c>
      <c r="C54" s="1" t="n">
        <f aca="false">IF(coding!$J54="",0,1)</f>
        <v>0</v>
      </c>
      <c r="D54" s="1" t="n">
        <f aca="false">IF(coding!$O54="",0,1)</f>
        <v>1</v>
      </c>
      <c r="E54" s="1" t="n">
        <f aca="false">IF(coding!$I54="",0,IF(ISNUMBER(SEARCH("T1",coding!$I54)),1,0))</f>
        <v>0</v>
      </c>
      <c r="F54" s="1" t="n">
        <f aca="false">IF(coding!$I54="",0,IF(ISNUMBER(SEARCH("T2",coding!$I54)),1,0))</f>
        <v>0</v>
      </c>
      <c r="G54" s="1" t="n">
        <f aca="false">IF(coding!$I54="",0,IF(ISNUMBER(SEARCH("T3",coding!$I54)),1,0))</f>
        <v>0</v>
      </c>
      <c r="H54" s="1" t="n">
        <f aca="false">IF(coding!$I54="",0,IF(ISNUMBER(SEARCH("T4",coding!$I54)),1,0))</f>
        <v>0</v>
      </c>
      <c r="I54" s="1" t="n">
        <f aca="false">IF(coding!$I54="",0,IF(ISNUMBER(SEARCH("T5",coding!$I54)),1,0))</f>
        <v>0</v>
      </c>
      <c r="J54" s="1" t="n">
        <f aca="false">IF(coding!$I54="",0,IF(ISNUMBER(SEARCH("T6",coding!$I54)),1,0))</f>
        <v>0</v>
      </c>
      <c r="K54" s="1" t="n">
        <f aca="false">IF(coding!$I54="",0,IF(ISNUMBER(SEARCH("T7",coding!$I54)),1,0))</f>
        <v>0</v>
      </c>
      <c r="L54" s="1" t="n">
        <f aca="false">IF(coding!$I54="",0,IF(ISNUMBER(SEARCH("T8",coding!$I54)),1,0))</f>
        <v>0</v>
      </c>
      <c r="M54" s="1" t="n">
        <f aca="false">IF(coding!$I54="",0,IF(ISNUMBER(SEARCH("T9",coding!$I54)),1,0))</f>
        <v>0</v>
      </c>
      <c r="N54" s="1" t="n">
        <f aca="false">IF(coding!$J54="",0,IF(ISNUMBER(SEARCH("T1",coding!$J54)),1,0))</f>
        <v>0</v>
      </c>
      <c r="O54" s="1" t="n">
        <f aca="false">IF(coding!$J54="",0,IF(ISNUMBER(SEARCH("T2",coding!$J54)),1,0))</f>
        <v>0</v>
      </c>
      <c r="P54" s="1" t="n">
        <f aca="false">IF(coding!$J54="",0,IF(ISNUMBER(SEARCH("T3",coding!$J54)),1,0))</f>
        <v>0</v>
      </c>
      <c r="Q54" s="1" t="n">
        <f aca="false">IF(coding!$J54="",0,IF(ISNUMBER(SEARCH("T4",coding!$J54)),1,0))</f>
        <v>0</v>
      </c>
      <c r="R54" s="1" t="n">
        <f aca="false">IF(coding!$J54="",0,IF(ISNUMBER(SEARCH("T5",coding!$J54)),1,0))</f>
        <v>0</v>
      </c>
      <c r="S54" s="1" t="n">
        <f aca="false">IF(coding!$J54="",0,IF(ISNUMBER(SEARCH("T6",coding!$J54)),1,0))</f>
        <v>0</v>
      </c>
      <c r="T54" s="1" t="n">
        <f aca="false">IF(coding!$J54="",0,IF(ISNUMBER(SEARCH("T7",coding!$J54)),1,0))</f>
        <v>0</v>
      </c>
      <c r="U54" s="1" t="n">
        <f aca="false">IF(coding!$J54="",0,IF(ISNUMBER(SEARCH("T8",coding!$J54)),1,0))</f>
        <v>0</v>
      </c>
      <c r="V54" s="1" t="n">
        <f aca="false">IF(coding!$J54="",0,IF(ISNUMBER(SEARCH("T9",coding!$J54)),1,0))</f>
        <v>0</v>
      </c>
      <c r="W54" s="1" t="n">
        <f aca="false">IF(coding!$O54="",0,IF(ISNUMBER(SEARCH("T1",coding!$O54)),1,0))</f>
        <v>1</v>
      </c>
      <c r="X54" s="1" t="n">
        <f aca="false">IF(coding!$O54="",0,IF(ISNUMBER(SEARCH("T2",coding!$O54)),1,0))</f>
        <v>1</v>
      </c>
      <c r="Y54" s="1" t="n">
        <f aca="false">IF(coding!$O54="",0,IF(ISNUMBER(SEARCH("T3",coding!$O54)),1,0))</f>
        <v>1</v>
      </c>
      <c r="Z54" s="1" t="n">
        <f aca="false">IF(coding!$O54="",0,IF(ISNUMBER(SEARCH("T4",coding!$O54)),1,0))</f>
        <v>0</v>
      </c>
      <c r="AA54" s="1" t="n">
        <f aca="false">IF(coding!$O54="",0,IF(ISNUMBER(SEARCH("T5",coding!$O54)),1,0))</f>
        <v>0</v>
      </c>
      <c r="AB54" s="1" t="n">
        <f aca="false">IF(coding!$O54="",0,IF(ISNUMBER(SEARCH("T6",coding!$O54)),1,0))</f>
        <v>0</v>
      </c>
      <c r="AC54" s="1" t="n">
        <f aca="false">IF(coding!$O54="",0,IF(ISNUMBER(SEARCH("T7",coding!$O54)),1,0))</f>
        <v>0</v>
      </c>
      <c r="AD54" s="1" t="n">
        <f aca="false">IF(coding!$O54="",0,IF(ISNUMBER(SEARCH("T8",coding!$O54)),1,0))</f>
        <v>0</v>
      </c>
      <c r="AE54" s="1" t="n">
        <f aca="false">IF(coding!$O54="",0,IF(ISNUMBER(SEARCH("T9",coding!$O54)),1,0))</f>
        <v>0</v>
      </c>
      <c r="AF54" s="1" t="n">
        <f aca="false">SUMPRODUCT($E54:$M54,$N54:$V54)</f>
        <v>0</v>
      </c>
      <c r="AG54" s="1" t="n">
        <f aca="false">SUMPRODUCT(--(($E54:$M54+$N54:$V54)&gt;0))</f>
        <v>0</v>
      </c>
      <c r="AH54" s="1" t="str">
        <f aca="false">IF(AND($B54=1,$C54=1),IF($AG54=0,1,$AF54/$AG54),"")</f>
        <v/>
      </c>
      <c r="AI54" s="1" t="str">
        <f aca="false">IF(AND($B54=1,$C54=1),IF(coding!$I54=coding!$J54,1,0),"")</f>
        <v/>
      </c>
      <c r="AJ54" s="1" t="str">
        <f aca="false">IF($B54=1,IF(SUMPRODUCT(--(($E54:$M54+$W54:$AE54)&gt;0))=0,1,SUMPRODUCT($E54:$M54,$W54:$AE54)/SUMPRODUCT(--(($E54:$M54+$W54:$AE54)&gt;0))),"")</f>
        <v/>
      </c>
      <c r="AK54" s="1" t="str">
        <f aca="false">IF($C54=1,IF(SUMPRODUCT(--(($N54:$V54+$W54:$AE54)&gt;0))=0,1,SUMPRODUCT($N54:$V54,$W54:$AE54)/SUMPRODUCT(--(($N54:$V54+$W54:$AE54)&gt;0))),"")</f>
        <v/>
      </c>
    </row>
    <row r="55" customFormat="false" ht="15" hidden="false" customHeight="true" outlineLevel="0" collapsed="false">
      <c r="A55" s="1" t="str">
        <f aca="false">coding!$A55</f>
        <v>P054</v>
      </c>
      <c r="B55" s="1" t="n">
        <f aca="false">IF(coding!$I55="",0,1)</f>
        <v>0</v>
      </c>
      <c r="C55" s="1" t="n">
        <f aca="false">IF(coding!$J55="",0,1)</f>
        <v>0</v>
      </c>
      <c r="D55" s="1" t="n">
        <f aca="false">IF(coding!$O55="",0,1)</f>
        <v>1</v>
      </c>
      <c r="E55" s="1" t="n">
        <f aca="false">IF(coding!$I55="",0,IF(ISNUMBER(SEARCH("T1",coding!$I55)),1,0))</f>
        <v>0</v>
      </c>
      <c r="F55" s="1" t="n">
        <f aca="false">IF(coding!$I55="",0,IF(ISNUMBER(SEARCH("T2",coding!$I55)),1,0))</f>
        <v>0</v>
      </c>
      <c r="G55" s="1" t="n">
        <f aca="false">IF(coding!$I55="",0,IF(ISNUMBER(SEARCH("T3",coding!$I55)),1,0))</f>
        <v>0</v>
      </c>
      <c r="H55" s="1" t="n">
        <f aca="false">IF(coding!$I55="",0,IF(ISNUMBER(SEARCH("T4",coding!$I55)),1,0))</f>
        <v>0</v>
      </c>
      <c r="I55" s="1" t="n">
        <f aca="false">IF(coding!$I55="",0,IF(ISNUMBER(SEARCH("T5",coding!$I55)),1,0))</f>
        <v>0</v>
      </c>
      <c r="J55" s="1" t="n">
        <f aca="false">IF(coding!$I55="",0,IF(ISNUMBER(SEARCH("T6",coding!$I55)),1,0))</f>
        <v>0</v>
      </c>
      <c r="K55" s="1" t="n">
        <f aca="false">IF(coding!$I55="",0,IF(ISNUMBER(SEARCH("T7",coding!$I55)),1,0))</f>
        <v>0</v>
      </c>
      <c r="L55" s="1" t="n">
        <f aca="false">IF(coding!$I55="",0,IF(ISNUMBER(SEARCH("T8",coding!$I55)),1,0))</f>
        <v>0</v>
      </c>
      <c r="M55" s="1" t="n">
        <f aca="false">IF(coding!$I55="",0,IF(ISNUMBER(SEARCH("T9",coding!$I55)),1,0))</f>
        <v>0</v>
      </c>
      <c r="N55" s="1" t="n">
        <f aca="false">IF(coding!$J55="",0,IF(ISNUMBER(SEARCH("T1",coding!$J55)),1,0))</f>
        <v>0</v>
      </c>
      <c r="O55" s="1" t="n">
        <f aca="false">IF(coding!$J55="",0,IF(ISNUMBER(SEARCH("T2",coding!$J55)),1,0))</f>
        <v>0</v>
      </c>
      <c r="P55" s="1" t="n">
        <f aca="false">IF(coding!$J55="",0,IF(ISNUMBER(SEARCH("T3",coding!$J55)),1,0))</f>
        <v>0</v>
      </c>
      <c r="Q55" s="1" t="n">
        <f aca="false">IF(coding!$J55="",0,IF(ISNUMBER(SEARCH("T4",coding!$J55)),1,0))</f>
        <v>0</v>
      </c>
      <c r="R55" s="1" t="n">
        <f aca="false">IF(coding!$J55="",0,IF(ISNUMBER(SEARCH("T5",coding!$J55)),1,0))</f>
        <v>0</v>
      </c>
      <c r="S55" s="1" t="n">
        <f aca="false">IF(coding!$J55="",0,IF(ISNUMBER(SEARCH("T6",coding!$J55)),1,0))</f>
        <v>0</v>
      </c>
      <c r="T55" s="1" t="n">
        <f aca="false">IF(coding!$J55="",0,IF(ISNUMBER(SEARCH("T7",coding!$J55)),1,0))</f>
        <v>0</v>
      </c>
      <c r="U55" s="1" t="n">
        <f aca="false">IF(coding!$J55="",0,IF(ISNUMBER(SEARCH("T8",coding!$J55)),1,0))</f>
        <v>0</v>
      </c>
      <c r="V55" s="1" t="n">
        <f aca="false">IF(coding!$J55="",0,IF(ISNUMBER(SEARCH("T9",coding!$J55)),1,0))</f>
        <v>0</v>
      </c>
      <c r="W55" s="1" t="n">
        <f aca="false">IF(coding!$O55="",0,IF(ISNUMBER(SEARCH("T1",coding!$O55)),1,0))</f>
        <v>0</v>
      </c>
      <c r="X55" s="1" t="n">
        <f aca="false">IF(coding!$O55="",0,IF(ISNUMBER(SEARCH("T2",coding!$O55)),1,0))</f>
        <v>0</v>
      </c>
      <c r="Y55" s="1" t="n">
        <f aca="false">IF(coding!$O55="",0,IF(ISNUMBER(SEARCH("T3",coding!$O55)),1,0))</f>
        <v>0</v>
      </c>
      <c r="Z55" s="1" t="n">
        <f aca="false">IF(coding!$O55="",0,IF(ISNUMBER(SEARCH("T4",coding!$O55)),1,0))</f>
        <v>0</v>
      </c>
      <c r="AA55" s="1" t="n">
        <f aca="false">IF(coding!$O55="",0,IF(ISNUMBER(SEARCH("T5",coding!$O55)),1,0))</f>
        <v>0</v>
      </c>
      <c r="AB55" s="1" t="n">
        <f aca="false">IF(coding!$O55="",0,IF(ISNUMBER(SEARCH("T6",coding!$O55)),1,0))</f>
        <v>0</v>
      </c>
      <c r="AC55" s="1" t="n">
        <f aca="false">IF(coding!$O55="",0,IF(ISNUMBER(SEARCH("T7",coding!$O55)),1,0))</f>
        <v>0</v>
      </c>
      <c r="AD55" s="1" t="n">
        <f aca="false">IF(coding!$O55="",0,IF(ISNUMBER(SEARCH("T8",coding!$O55)),1,0))</f>
        <v>0</v>
      </c>
      <c r="AE55" s="1" t="n">
        <f aca="false">IF(coding!$O55="",0,IF(ISNUMBER(SEARCH("T9",coding!$O55)),1,0))</f>
        <v>1</v>
      </c>
      <c r="AF55" s="1" t="n">
        <f aca="false">SUMPRODUCT($E55:$M55,$N55:$V55)</f>
        <v>0</v>
      </c>
      <c r="AG55" s="1" t="n">
        <f aca="false">SUMPRODUCT(--(($E55:$M55+$N55:$V55)&gt;0))</f>
        <v>0</v>
      </c>
      <c r="AH55" s="1" t="str">
        <f aca="false">IF(AND($B55=1,$C55=1),IF($AG55=0,1,$AF55/$AG55),"")</f>
        <v/>
      </c>
      <c r="AI55" s="1" t="str">
        <f aca="false">IF(AND($B55=1,$C55=1),IF(coding!$I55=coding!$J55,1,0),"")</f>
        <v/>
      </c>
      <c r="AJ55" s="1" t="str">
        <f aca="false">IF($B55=1,IF(SUMPRODUCT(--(($E55:$M55+$W55:$AE55)&gt;0))=0,1,SUMPRODUCT($E55:$M55,$W55:$AE55)/SUMPRODUCT(--(($E55:$M55+$W55:$AE55)&gt;0))),"")</f>
        <v/>
      </c>
      <c r="AK55" s="1" t="str">
        <f aca="false">IF($C55=1,IF(SUMPRODUCT(--(($N55:$V55+$W55:$AE55)&gt;0))=0,1,SUMPRODUCT($N55:$V55,$W55:$AE55)/SUMPRODUCT(--(($N55:$V55+$W55:$AE55)&gt;0))),"")</f>
        <v/>
      </c>
    </row>
    <row r="56" customFormat="false" ht="15" hidden="false" customHeight="true" outlineLevel="0" collapsed="false">
      <c r="A56" s="1" t="str">
        <f aca="false">coding!$A56</f>
        <v>P055</v>
      </c>
      <c r="B56" s="1" t="n">
        <f aca="false">IF(coding!$I56="",0,1)</f>
        <v>0</v>
      </c>
      <c r="C56" s="1" t="n">
        <f aca="false">IF(coding!$J56="",0,1)</f>
        <v>0</v>
      </c>
      <c r="D56" s="1" t="n">
        <f aca="false">IF(coding!$O56="",0,1)</f>
        <v>1</v>
      </c>
      <c r="E56" s="1" t="n">
        <f aca="false">IF(coding!$I56="",0,IF(ISNUMBER(SEARCH("T1",coding!$I56)),1,0))</f>
        <v>0</v>
      </c>
      <c r="F56" s="1" t="n">
        <f aca="false">IF(coding!$I56="",0,IF(ISNUMBER(SEARCH("T2",coding!$I56)),1,0))</f>
        <v>0</v>
      </c>
      <c r="G56" s="1" t="n">
        <f aca="false">IF(coding!$I56="",0,IF(ISNUMBER(SEARCH("T3",coding!$I56)),1,0))</f>
        <v>0</v>
      </c>
      <c r="H56" s="1" t="n">
        <f aca="false">IF(coding!$I56="",0,IF(ISNUMBER(SEARCH("T4",coding!$I56)),1,0))</f>
        <v>0</v>
      </c>
      <c r="I56" s="1" t="n">
        <f aca="false">IF(coding!$I56="",0,IF(ISNUMBER(SEARCH("T5",coding!$I56)),1,0))</f>
        <v>0</v>
      </c>
      <c r="J56" s="1" t="n">
        <f aca="false">IF(coding!$I56="",0,IF(ISNUMBER(SEARCH("T6",coding!$I56)),1,0))</f>
        <v>0</v>
      </c>
      <c r="K56" s="1" t="n">
        <f aca="false">IF(coding!$I56="",0,IF(ISNUMBER(SEARCH("T7",coding!$I56)),1,0))</f>
        <v>0</v>
      </c>
      <c r="L56" s="1" t="n">
        <f aca="false">IF(coding!$I56="",0,IF(ISNUMBER(SEARCH("T8",coding!$I56)),1,0))</f>
        <v>0</v>
      </c>
      <c r="M56" s="1" t="n">
        <f aca="false">IF(coding!$I56="",0,IF(ISNUMBER(SEARCH("T9",coding!$I56)),1,0))</f>
        <v>0</v>
      </c>
      <c r="N56" s="1" t="n">
        <f aca="false">IF(coding!$J56="",0,IF(ISNUMBER(SEARCH("T1",coding!$J56)),1,0))</f>
        <v>0</v>
      </c>
      <c r="O56" s="1" t="n">
        <f aca="false">IF(coding!$J56="",0,IF(ISNUMBER(SEARCH("T2",coding!$J56)),1,0))</f>
        <v>0</v>
      </c>
      <c r="P56" s="1" t="n">
        <f aca="false">IF(coding!$J56="",0,IF(ISNUMBER(SEARCH("T3",coding!$J56)),1,0))</f>
        <v>0</v>
      </c>
      <c r="Q56" s="1" t="n">
        <f aca="false">IF(coding!$J56="",0,IF(ISNUMBER(SEARCH("T4",coding!$J56)),1,0))</f>
        <v>0</v>
      </c>
      <c r="R56" s="1" t="n">
        <f aca="false">IF(coding!$J56="",0,IF(ISNUMBER(SEARCH("T5",coding!$J56)),1,0))</f>
        <v>0</v>
      </c>
      <c r="S56" s="1" t="n">
        <f aca="false">IF(coding!$J56="",0,IF(ISNUMBER(SEARCH("T6",coding!$J56)),1,0))</f>
        <v>0</v>
      </c>
      <c r="T56" s="1" t="n">
        <f aca="false">IF(coding!$J56="",0,IF(ISNUMBER(SEARCH("T7",coding!$J56)),1,0))</f>
        <v>0</v>
      </c>
      <c r="U56" s="1" t="n">
        <f aca="false">IF(coding!$J56="",0,IF(ISNUMBER(SEARCH("T8",coding!$J56)),1,0))</f>
        <v>0</v>
      </c>
      <c r="V56" s="1" t="n">
        <f aca="false">IF(coding!$J56="",0,IF(ISNUMBER(SEARCH("T9",coding!$J56)),1,0))</f>
        <v>0</v>
      </c>
      <c r="W56" s="1" t="n">
        <f aca="false">IF(coding!$O56="",0,IF(ISNUMBER(SEARCH("T1",coding!$O56)),1,0))</f>
        <v>0</v>
      </c>
      <c r="X56" s="1" t="n">
        <f aca="false">IF(coding!$O56="",0,IF(ISNUMBER(SEARCH("T2",coding!$O56)),1,0))</f>
        <v>1</v>
      </c>
      <c r="Y56" s="1" t="n">
        <f aca="false">IF(coding!$O56="",0,IF(ISNUMBER(SEARCH("T3",coding!$O56)),1,0))</f>
        <v>0</v>
      </c>
      <c r="Z56" s="1" t="n">
        <f aca="false">IF(coding!$O56="",0,IF(ISNUMBER(SEARCH("T4",coding!$O56)),1,0))</f>
        <v>1</v>
      </c>
      <c r="AA56" s="1" t="n">
        <f aca="false">IF(coding!$O56="",0,IF(ISNUMBER(SEARCH("T5",coding!$O56)),1,0))</f>
        <v>0</v>
      </c>
      <c r="AB56" s="1" t="n">
        <f aca="false">IF(coding!$O56="",0,IF(ISNUMBER(SEARCH("T6",coding!$O56)),1,0))</f>
        <v>0</v>
      </c>
      <c r="AC56" s="1" t="n">
        <f aca="false">IF(coding!$O56="",0,IF(ISNUMBER(SEARCH("T7",coding!$O56)),1,0))</f>
        <v>0</v>
      </c>
      <c r="AD56" s="1" t="n">
        <f aca="false">IF(coding!$O56="",0,IF(ISNUMBER(SEARCH("T8",coding!$O56)),1,0))</f>
        <v>0</v>
      </c>
      <c r="AE56" s="1" t="n">
        <f aca="false">IF(coding!$O56="",0,IF(ISNUMBER(SEARCH("T9",coding!$O56)),1,0))</f>
        <v>0</v>
      </c>
      <c r="AF56" s="1" t="n">
        <f aca="false">SUMPRODUCT($E56:$M56,$N56:$V56)</f>
        <v>0</v>
      </c>
      <c r="AG56" s="1" t="n">
        <f aca="false">SUMPRODUCT(--(($E56:$M56+$N56:$V56)&gt;0))</f>
        <v>0</v>
      </c>
      <c r="AH56" s="1" t="str">
        <f aca="false">IF(AND($B56=1,$C56=1),IF($AG56=0,1,$AF56/$AG56),"")</f>
        <v/>
      </c>
      <c r="AI56" s="1" t="str">
        <f aca="false">IF(AND($B56=1,$C56=1),IF(coding!$I56=coding!$J56,1,0),"")</f>
        <v/>
      </c>
      <c r="AJ56" s="1" t="str">
        <f aca="false">IF($B56=1,IF(SUMPRODUCT(--(($E56:$M56+$W56:$AE56)&gt;0))=0,1,SUMPRODUCT($E56:$M56,$W56:$AE56)/SUMPRODUCT(--(($E56:$M56+$W56:$AE56)&gt;0))),"")</f>
        <v/>
      </c>
      <c r="AK56" s="1" t="str">
        <f aca="false">IF($C56=1,IF(SUMPRODUCT(--(($N56:$V56+$W56:$AE56)&gt;0))=0,1,SUMPRODUCT($N56:$V56,$W56:$AE56)/SUMPRODUCT(--(($N56:$V56+$W56:$AE56)&gt;0))),"")</f>
        <v/>
      </c>
    </row>
    <row r="57" customFormat="false" ht="15" hidden="false" customHeight="true" outlineLevel="0" collapsed="false">
      <c r="A57" s="1" t="str">
        <f aca="false">coding!$A57</f>
        <v>P056</v>
      </c>
      <c r="B57" s="1" t="n">
        <f aca="false">IF(coding!$I57="",0,1)</f>
        <v>0</v>
      </c>
      <c r="C57" s="1" t="n">
        <f aca="false">IF(coding!$J57="",0,1)</f>
        <v>0</v>
      </c>
      <c r="D57" s="1" t="n">
        <f aca="false">IF(coding!$O57="",0,1)</f>
        <v>1</v>
      </c>
      <c r="E57" s="1" t="n">
        <f aca="false">IF(coding!$I57="",0,IF(ISNUMBER(SEARCH("T1",coding!$I57)),1,0))</f>
        <v>0</v>
      </c>
      <c r="F57" s="1" t="n">
        <f aca="false">IF(coding!$I57="",0,IF(ISNUMBER(SEARCH("T2",coding!$I57)),1,0))</f>
        <v>0</v>
      </c>
      <c r="G57" s="1" t="n">
        <f aca="false">IF(coding!$I57="",0,IF(ISNUMBER(SEARCH("T3",coding!$I57)),1,0))</f>
        <v>0</v>
      </c>
      <c r="H57" s="1" t="n">
        <f aca="false">IF(coding!$I57="",0,IF(ISNUMBER(SEARCH("T4",coding!$I57)),1,0))</f>
        <v>0</v>
      </c>
      <c r="I57" s="1" t="n">
        <f aca="false">IF(coding!$I57="",0,IF(ISNUMBER(SEARCH("T5",coding!$I57)),1,0))</f>
        <v>0</v>
      </c>
      <c r="J57" s="1" t="n">
        <f aca="false">IF(coding!$I57="",0,IF(ISNUMBER(SEARCH("T6",coding!$I57)),1,0))</f>
        <v>0</v>
      </c>
      <c r="K57" s="1" t="n">
        <f aca="false">IF(coding!$I57="",0,IF(ISNUMBER(SEARCH("T7",coding!$I57)),1,0))</f>
        <v>0</v>
      </c>
      <c r="L57" s="1" t="n">
        <f aca="false">IF(coding!$I57="",0,IF(ISNUMBER(SEARCH("T8",coding!$I57)),1,0))</f>
        <v>0</v>
      </c>
      <c r="M57" s="1" t="n">
        <f aca="false">IF(coding!$I57="",0,IF(ISNUMBER(SEARCH("T9",coding!$I57)),1,0))</f>
        <v>0</v>
      </c>
      <c r="N57" s="1" t="n">
        <f aca="false">IF(coding!$J57="",0,IF(ISNUMBER(SEARCH("T1",coding!$J57)),1,0))</f>
        <v>0</v>
      </c>
      <c r="O57" s="1" t="n">
        <f aca="false">IF(coding!$J57="",0,IF(ISNUMBER(SEARCH("T2",coding!$J57)),1,0))</f>
        <v>0</v>
      </c>
      <c r="P57" s="1" t="n">
        <f aca="false">IF(coding!$J57="",0,IF(ISNUMBER(SEARCH("T3",coding!$J57)),1,0))</f>
        <v>0</v>
      </c>
      <c r="Q57" s="1" t="n">
        <f aca="false">IF(coding!$J57="",0,IF(ISNUMBER(SEARCH("T4",coding!$J57)),1,0))</f>
        <v>0</v>
      </c>
      <c r="R57" s="1" t="n">
        <f aca="false">IF(coding!$J57="",0,IF(ISNUMBER(SEARCH("T5",coding!$J57)),1,0))</f>
        <v>0</v>
      </c>
      <c r="S57" s="1" t="n">
        <f aca="false">IF(coding!$J57="",0,IF(ISNUMBER(SEARCH("T6",coding!$J57)),1,0))</f>
        <v>0</v>
      </c>
      <c r="T57" s="1" t="n">
        <f aca="false">IF(coding!$J57="",0,IF(ISNUMBER(SEARCH("T7",coding!$J57)),1,0))</f>
        <v>0</v>
      </c>
      <c r="U57" s="1" t="n">
        <f aca="false">IF(coding!$J57="",0,IF(ISNUMBER(SEARCH("T8",coding!$J57)),1,0))</f>
        <v>0</v>
      </c>
      <c r="V57" s="1" t="n">
        <f aca="false">IF(coding!$J57="",0,IF(ISNUMBER(SEARCH("T9",coding!$J57)),1,0))</f>
        <v>0</v>
      </c>
      <c r="W57" s="1" t="n">
        <f aca="false">IF(coding!$O57="",0,IF(ISNUMBER(SEARCH("T1",coding!$O57)),1,0))</f>
        <v>1</v>
      </c>
      <c r="X57" s="1" t="n">
        <f aca="false">IF(coding!$O57="",0,IF(ISNUMBER(SEARCH("T2",coding!$O57)),1,0))</f>
        <v>1</v>
      </c>
      <c r="Y57" s="1" t="n">
        <f aca="false">IF(coding!$O57="",0,IF(ISNUMBER(SEARCH("T3",coding!$O57)),1,0))</f>
        <v>0</v>
      </c>
      <c r="Z57" s="1" t="n">
        <f aca="false">IF(coding!$O57="",0,IF(ISNUMBER(SEARCH("T4",coding!$O57)),1,0))</f>
        <v>0</v>
      </c>
      <c r="AA57" s="1" t="n">
        <f aca="false">IF(coding!$O57="",0,IF(ISNUMBER(SEARCH("T5",coding!$O57)),1,0))</f>
        <v>0</v>
      </c>
      <c r="AB57" s="1" t="n">
        <f aca="false">IF(coding!$O57="",0,IF(ISNUMBER(SEARCH("T6",coding!$O57)),1,0))</f>
        <v>0</v>
      </c>
      <c r="AC57" s="1" t="n">
        <f aca="false">IF(coding!$O57="",0,IF(ISNUMBER(SEARCH("T7",coding!$O57)),1,0))</f>
        <v>0</v>
      </c>
      <c r="AD57" s="1" t="n">
        <f aca="false">IF(coding!$O57="",0,IF(ISNUMBER(SEARCH("T8",coding!$O57)),1,0))</f>
        <v>0</v>
      </c>
      <c r="AE57" s="1" t="n">
        <f aca="false">IF(coding!$O57="",0,IF(ISNUMBER(SEARCH("T9",coding!$O57)),1,0))</f>
        <v>0</v>
      </c>
      <c r="AF57" s="1" t="n">
        <f aca="false">SUMPRODUCT($E57:$M57,$N57:$V57)</f>
        <v>0</v>
      </c>
      <c r="AG57" s="1" t="n">
        <f aca="false">SUMPRODUCT(--(($E57:$M57+$N57:$V57)&gt;0))</f>
        <v>0</v>
      </c>
      <c r="AH57" s="1" t="str">
        <f aca="false">IF(AND($B57=1,$C57=1),IF($AG57=0,1,$AF57/$AG57),"")</f>
        <v/>
      </c>
      <c r="AI57" s="1" t="str">
        <f aca="false">IF(AND($B57=1,$C57=1),IF(coding!$I57=coding!$J57,1,0),"")</f>
        <v/>
      </c>
      <c r="AJ57" s="1" t="str">
        <f aca="false">IF($B57=1,IF(SUMPRODUCT(--(($E57:$M57+$W57:$AE57)&gt;0))=0,1,SUMPRODUCT($E57:$M57,$W57:$AE57)/SUMPRODUCT(--(($E57:$M57+$W57:$AE57)&gt;0))),"")</f>
        <v/>
      </c>
      <c r="AK57" s="1" t="str">
        <f aca="false">IF($C57=1,IF(SUMPRODUCT(--(($N57:$V57+$W57:$AE57)&gt;0))=0,1,SUMPRODUCT($N57:$V57,$W57:$AE57)/SUMPRODUCT(--(($N57:$V57+$W57:$AE57)&gt;0))),"")</f>
        <v/>
      </c>
    </row>
    <row r="58" customFormat="false" ht="15" hidden="false" customHeight="true" outlineLevel="0" collapsed="false">
      <c r="A58" s="1" t="str">
        <f aca="false">coding!$A58</f>
        <v>P057</v>
      </c>
      <c r="B58" s="1" t="n">
        <f aca="false">IF(coding!$I58="",0,1)</f>
        <v>0</v>
      </c>
      <c r="C58" s="1" t="n">
        <f aca="false">IF(coding!$J58="",0,1)</f>
        <v>0</v>
      </c>
      <c r="D58" s="1" t="n">
        <f aca="false">IF(coding!$O58="",0,1)</f>
        <v>1</v>
      </c>
      <c r="E58" s="1" t="n">
        <f aca="false">IF(coding!$I58="",0,IF(ISNUMBER(SEARCH("T1",coding!$I58)),1,0))</f>
        <v>0</v>
      </c>
      <c r="F58" s="1" t="n">
        <f aca="false">IF(coding!$I58="",0,IF(ISNUMBER(SEARCH("T2",coding!$I58)),1,0))</f>
        <v>0</v>
      </c>
      <c r="G58" s="1" t="n">
        <f aca="false">IF(coding!$I58="",0,IF(ISNUMBER(SEARCH("T3",coding!$I58)),1,0))</f>
        <v>0</v>
      </c>
      <c r="H58" s="1" t="n">
        <f aca="false">IF(coding!$I58="",0,IF(ISNUMBER(SEARCH("T4",coding!$I58)),1,0))</f>
        <v>0</v>
      </c>
      <c r="I58" s="1" t="n">
        <f aca="false">IF(coding!$I58="",0,IF(ISNUMBER(SEARCH("T5",coding!$I58)),1,0))</f>
        <v>0</v>
      </c>
      <c r="J58" s="1" t="n">
        <f aca="false">IF(coding!$I58="",0,IF(ISNUMBER(SEARCH("T6",coding!$I58)),1,0))</f>
        <v>0</v>
      </c>
      <c r="K58" s="1" t="n">
        <f aca="false">IF(coding!$I58="",0,IF(ISNUMBER(SEARCH("T7",coding!$I58)),1,0))</f>
        <v>0</v>
      </c>
      <c r="L58" s="1" t="n">
        <f aca="false">IF(coding!$I58="",0,IF(ISNUMBER(SEARCH("T8",coding!$I58)),1,0))</f>
        <v>0</v>
      </c>
      <c r="M58" s="1" t="n">
        <f aca="false">IF(coding!$I58="",0,IF(ISNUMBER(SEARCH("T9",coding!$I58)),1,0))</f>
        <v>0</v>
      </c>
      <c r="N58" s="1" t="n">
        <f aca="false">IF(coding!$J58="",0,IF(ISNUMBER(SEARCH("T1",coding!$J58)),1,0))</f>
        <v>0</v>
      </c>
      <c r="O58" s="1" t="n">
        <f aca="false">IF(coding!$J58="",0,IF(ISNUMBER(SEARCH("T2",coding!$J58)),1,0))</f>
        <v>0</v>
      </c>
      <c r="P58" s="1" t="n">
        <f aca="false">IF(coding!$J58="",0,IF(ISNUMBER(SEARCH("T3",coding!$J58)),1,0))</f>
        <v>0</v>
      </c>
      <c r="Q58" s="1" t="n">
        <f aca="false">IF(coding!$J58="",0,IF(ISNUMBER(SEARCH("T4",coding!$J58)),1,0))</f>
        <v>0</v>
      </c>
      <c r="R58" s="1" t="n">
        <f aca="false">IF(coding!$J58="",0,IF(ISNUMBER(SEARCH("T5",coding!$J58)),1,0))</f>
        <v>0</v>
      </c>
      <c r="S58" s="1" t="n">
        <f aca="false">IF(coding!$J58="",0,IF(ISNUMBER(SEARCH("T6",coding!$J58)),1,0))</f>
        <v>0</v>
      </c>
      <c r="T58" s="1" t="n">
        <f aca="false">IF(coding!$J58="",0,IF(ISNUMBER(SEARCH("T7",coding!$J58)),1,0))</f>
        <v>0</v>
      </c>
      <c r="U58" s="1" t="n">
        <f aca="false">IF(coding!$J58="",0,IF(ISNUMBER(SEARCH("T8",coding!$J58)),1,0))</f>
        <v>0</v>
      </c>
      <c r="V58" s="1" t="n">
        <f aca="false">IF(coding!$J58="",0,IF(ISNUMBER(SEARCH("T9",coding!$J58)),1,0))</f>
        <v>0</v>
      </c>
      <c r="W58" s="1" t="n">
        <f aca="false">IF(coding!$O58="",0,IF(ISNUMBER(SEARCH("T1",coding!$O58)),1,0))</f>
        <v>1</v>
      </c>
      <c r="X58" s="1" t="n">
        <f aca="false">IF(coding!$O58="",0,IF(ISNUMBER(SEARCH("T2",coding!$O58)),1,0))</f>
        <v>0</v>
      </c>
      <c r="Y58" s="1" t="n">
        <f aca="false">IF(coding!$O58="",0,IF(ISNUMBER(SEARCH("T3",coding!$O58)),1,0))</f>
        <v>0</v>
      </c>
      <c r="Z58" s="1" t="n">
        <f aca="false">IF(coding!$O58="",0,IF(ISNUMBER(SEARCH("T4",coding!$O58)),1,0))</f>
        <v>0</v>
      </c>
      <c r="AA58" s="1" t="n">
        <f aca="false">IF(coding!$O58="",0,IF(ISNUMBER(SEARCH("T5",coding!$O58)),1,0))</f>
        <v>1</v>
      </c>
      <c r="AB58" s="1" t="n">
        <f aca="false">IF(coding!$O58="",0,IF(ISNUMBER(SEARCH("T6",coding!$O58)),1,0))</f>
        <v>0</v>
      </c>
      <c r="AC58" s="1" t="n">
        <f aca="false">IF(coding!$O58="",0,IF(ISNUMBER(SEARCH("T7",coding!$O58)),1,0))</f>
        <v>0</v>
      </c>
      <c r="AD58" s="1" t="n">
        <f aca="false">IF(coding!$O58="",0,IF(ISNUMBER(SEARCH("T8",coding!$O58)),1,0))</f>
        <v>0</v>
      </c>
      <c r="AE58" s="1" t="n">
        <f aca="false">IF(coding!$O58="",0,IF(ISNUMBER(SEARCH("T9",coding!$O58)),1,0))</f>
        <v>0</v>
      </c>
      <c r="AF58" s="1" t="n">
        <f aca="false">SUMPRODUCT($E58:$M58,$N58:$V58)</f>
        <v>0</v>
      </c>
      <c r="AG58" s="1" t="n">
        <f aca="false">SUMPRODUCT(--(($E58:$M58+$N58:$V58)&gt;0))</f>
        <v>0</v>
      </c>
      <c r="AH58" s="1" t="str">
        <f aca="false">IF(AND($B58=1,$C58=1),IF($AG58=0,1,$AF58/$AG58),"")</f>
        <v/>
      </c>
      <c r="AI58" s="1" t="str">
        <f aca="false">IF(AND($B58=1,$C58=1),IF(coding!$I58=coding!$J58,1,0),"")</f>
        <v/>
      </c>
      <c r="AJ58" s="1" t="str">
        <f aca="false">IF($B58=1,IF(SUMPRODUCT(--(($E58:$M58+$W58:$AE58)&gt;0))=0,1,SUMPRODUCT($E58:$M58,$W58:$AE58)/SUMPRODUCT(--(($E58:$M58+$W58:$AE58)&gt;0))),"")</f>
        <v/>
      </c>
      <c r="AK58" s="1" t="str">
        <f aca="false">IF($C58=1,IF(SUMPRODUCT(--(($N58:$V58+$W58:$AE58)&gt;0))=0,1,SUMPRODUCT($N58:$V58,$W58:$AE58)/SUMPRODUCT(--(($N58:$V58+$W58:$AE58)&gt;0))),"")</f>
        <v/>
      </c>
    </row>
    <row r="59" customFormat="false" ht="15" hidden="false" customHeight="true" outlineLevel="0" collapsed="false">
      <c r="A59" s="1" t="str">
        <f aca="false">coding!$A59</f>
        <v>P058</v>
      </c>
      <c r="B59" s="1" t="n">
        <f aca="false">IF(coding!$I59="",0,1)</f>
        <v>0</v>
      </c>
      <c r="C59" s="1" t="n">
        <f aca="false">IF(coding!$J59="",0,1)</f>
        <v>0</v>
      </c>
      <c r="D59" s="1" t="n">
        <f aca="false">IF(coding!$O59="",0,1)</f>
        <v>1</v>
      </c>
      <c r="E59" s="1" t="n">
        <f aca="false">IF(coding!$I59="",0,IF(ISNUMBER(SEARCH("T1",coding!$I59)),1,0))</f>
        <v>0</v>
      </c>
      <c r="F59" s="1" t="n">
        <f aca="false">IF(coding!$I59="",0,IF(ISNUMBER(SEARCH("T2",coding!$I59)),1,0))</f>
        <v>0</v>
      </c>
      <c r="G59" s="1" t="n">
        <f aca="false">IF(coding!$I59="",0,IF(ISNUMBER(SEARCH("T3",coding!$I59)),1,0))</f>
        <v>0</v>
      </c>
      <c r="H59" s="1" t="n">
        <f aca="false">IF(coding!$I59="",0,IF(ISNUMBER(SEARCH("T4",coding!$I59)),1,0))</f>
        <v>0</v>
      </c>
      <c r="I59" s="1" t="n">
        <f aca="false">IF(coding!$I59="",0,IF(ISNUMBER(SEARCH("T5",coding!$I59)),1,0))</f>
        <v>0</v>
      </c>
      <c r="J59" s="1" t="n">
        <f aca="false">IF(coding!$I59="",0,IF(ISNUMBER(SEARCH("T6",coding!$I59)),1,0))</f>
        <v>0</v>
      </c>
      <c r="K59" s="1" t="n">
        <f aca="false">IF(coding!$I59="",0,IF(ISNUMBER(SEARCH("T7",coding!$I59)),1,0))</f>
        <v>0</v>
      </c>
      <c r="L59" s="1" t="n">
        <f aca="false">IF(coding!$I59="",0,IF(ISNUMBER(SEARCH("T8",coding!$I59)),1,0))</f>
        <v>0</v>
      </c>
      <c r="M59" s="1" t="n">
        <f aca="false">IF(coding!$I59="",0,IF(ISNUMBER(SEARCH("T9",coding!$I59)),1,0))</f>
        <v>0</v>
      </c>
      <c r="N59" s="1" t="n">
        <f aca="false">IF(coding!$J59="",0,IF(ISNUMBER(SEARCH("T1",coding!$J59)),1,0))</f>
        <v>0</v>
      </c>
      <c r="O59" s="1" t="n">
        <f aca="false">IF(coding!$J59="",0,IF(ISNUMBER(SEARCH("T2",coding!$J59)),1,0))</f>
        <v>0</v>
      </c>
      <c r="P59" s="1" t="n">
        <f aca="false">IF(coding!$J59="",0,IF(ISNUMBER(SEARCH("T3",coding!$J59)),1,0))</f>
        <v>0</v>
      </c>
      <c r="Q59" s="1" t="n">
        <f aca="false">IF(coding!$J59="",0,IF(ISNUMBER(SEARCH("T4",coding!$J59)),1,0))</f>
        <v>0</v>
      </c>
      <c r="R59" s="1" t="n">
        <f aca="false">IF(coding!$J59="",0,IF(ISNUMBER(SEARCH("T5",coding!$J59)),1,0))</f>
        <v>0</v>
      </c>
      <c r="S59" s="1" t="n">
        <f aca="false">IF(coding!$J59="",0,IF(ISNUMBER(SEARCH("T6",coding!$J59)),1,0))</f>
        <v>0</v>
      </c>
      <c r="T59" s="1" t="n">
        <f aca="false">IF(coding!$J59="",0,IF(ISNUMBER(SEARCH("T7",coding!$J59)),1,0))</f>
        <v>0</v>
      </c>
      <c r="U59" s="1" t="n">
        <f aca="false">IF(coding!$J59="",0,IF(ISNUMBER(SEARCH("T8",coding!$J59)),1,0))</f>
        <v>0</v>
      </c>
      <c r="V59" s="1" t="n">
        <f aca="false">IF(coding!$J59="",0,IF(ISNUMBER(SEARCH("T9",coding!$J59)),1,0))</f>
        <v>0</v>
      </c>
      <c r="W59" s="1" t="n">
        <f aca="false">IF(coding!$O59="",0,IF(ISNUMBER(SEARCH("T1",coding!$O59)),1,0))</f>
        <v>1</v>
      </c>
      <c r="X59" s="1" t="n">
        <f aca="false">IF(coding!$O59="",0,IF(ISNUMBER(SEARCH("T2",coding!$O59)),1,0))</f>
        <v>0</v>
      </c>
      <c r="Y59" s="1" t="n">
        <f aca="false">IF(coding!$O59="",0,IF(ISNUMBER(SEARCH("T3",coding!$O59)),1,0))</f>
        <v>0</v>
      </c>
      <c r="Z59" s="1" t="n">
        <f aca="false">IF(coding!$O59="",0,IF(ISNUMBER(SEARCH("T4",coding!$O59)),1,0))</f>
        <v>0</v>
      </c>
      <c r="AA59" s="1" t="n">
        <f aca="false">IF(coding!$O59="",0,IF(ISNUMBER(SEARCH("T5",coding!$O59)),1,0))</f>
        <v>0</v>
      </c>
      <c r="AB59" s="1" t="n">
        <f aca="false">IF(coding!$O59="",0,IF(ISNUMBER(SEARCH("T6",coding!$O59)),1,0))</f>
        <v>0</v>
      </c>
      <c r="AC59" s="1" t="n">
        <f aca="false">IF(coding!$O59="",0,IF(ISNUMBER(SEARCH("T7",coding!$O59)),1,0))</f>
        <v>0</v>
      </c>
      <c r="AD59" s="1" t="n">
        <f aca="false">IF(coding!$O59="",0,IF(ISNUMBER(SEARCH("T8",coding!$O59)),1,0))</f>
        <v>0</v>
      </c>
      <c r="AE59" s="1" t="n">
        <f aca="false">IF(coding!$O59="",0,IF(ISNUMBER(SEARCH("T9",coding!$O59)),1,0))</f>
        <v>0</v>
      </c>
      <c r="AF59" s="1" t="n">
        <f aca="false">SUMPRODUCT($E59:$M59,$N59:$V59)</f>
        <v>0</v>
      </c>
      <c r="AG59" s="1" t="n">
        <f aca="false">SUMPRODUCT(--(($E59:$M59+$N59:$V59)&gt;0))</f>
        <v>0</v>
      </c>
      <c r="AH59" s="1" t="str">
        <f aca="false">IF(AND($B59=1,$C59=1),IF($AG59=0,1,$AF59/$AG59),"")</f>
        <v/>
      </c>
      <c r="AI59" s="1" t="str">
        <f aca="false">IF(AND($B59=1,$C59=1),IF(coding!$I59=coding!$J59,1,0),"")</f>
        <v/>
      </c>
      <c r="AJ59" s="1" t="str">
        <f aca="false">IF($B59=1,IF(SUMPRODUCT(--(($E59:$M59+$W59:$AE59)&gt;0))=0,1,SUMPRODUCT($E59:$M59,$W59:$AE59)/SUMPRODUCT(--(($E59:$M59+$W59:$AE59)&gt;0))),"")</f>
        <v/>
      </c>
      <c r="AK59" s="1" t="str">
        <f aca="false">IF($C59=1,IF(SUMPRODUCT(--(($N59:$V59+$W59:$AE59)&gt;0))=0,1,SUMPRODUCT($N59:$V59,$W59:$AE59)/SUMPRODUCT(--(($N59:$V59+$W59:$AE59)&gt;0))),"")</f>
        <v/>
      </c>
    </row>
    <row r="60" customFormat="false" ht="15" hidden="false" customHeight="true" outlineLevel="0" collapsed="false">
      <c r="A60" s="1" t="str">
        <f aca="false">coding!$A60</f>
        <v>P059</v>
      </c>
      <c r="B60" s="1" t="n">
        <f aca="false">IF(coding!$I60="",0,1)</f>
        <v>0</v>
      </c>
      <c r="C60" s="1" t="n">
        <f aca="false">IF(coding!$J60="",0,1)</f>
        <v>0</v>
      </c>
      <c r="D60" s="1" t="n">
        <f aca="false">IF(coding!$O60="",0,1)</f>
        <v>1</v>
      </c>
      <c r="E60" s="1" t="n">
        <f aca="false">IF(coding!$I60="",0,IF(ISNUMBER(SEARCH("T1",coding!$I60)),1,0))</f>
        <v>0</v>
      </c>
      <c r="F60" s="1" t="n">
        <f aca="false">IF(coding!$I60="",0,IF(ISNUMBER(SEARCH("T2",coding!$I60)),1,0))</f>
        <v>0</v>
      </c>
      <c r="G60" s="1" t="n">
        <f aca="false">IF(coding!$I60="",0,IF(ISNUMBER(SEARCH("T3",coding!$I60)),1,0))</f>
        <v>0</v>
      </c>
      <c r="H60" s="1" t="n">
        <f aca="false">IF(coding!$I60="",0,IF(ISNUMBER(SEARCH("T4",coding!$I60)),1,0))</f>
        <v>0</v>
      </c>
      <c r="I60" s="1" t="n">
        <f aca="false">IF(coding!$I60="",0,IF(ISNUMBER(SEARCH("T5",coding!$I60)),1,0))</f>
        <v>0</v>
      </c>
      <c r="J60" s="1" t="n">
        <f aca="false">IF(coding!$I60="",0,IF(ISNUMBER(SEARCH("T6",coding!$I60)),1,0))</f>
        <v>0</v>
      </c>
      <c r="K60" s="1" t="n">
        <f aca="false">IF(coding!$I60="",0,IF(ISNUMBER(SEARCH("T7",coding!$I60)),1,0))</f>
        <v>0</v>
      </c>
      <c r="L60" s="1" t="n">
        <f aca="false">IF(coding!$I60="",0,IF(ISNUMBER(SEARCH("T8",coding!$I60)),1,0))</f>
        <v>0</v>
      </c>
      <c r="M60" s="1" t="n">
        <f aca="false">IF(coding!$I60="",0,IF(ISNUMBER(SEARCH("T9",coding!$I60)),1,0))</f>
        <v>0</v>
      </c>
      <c r="N60" s="1" t="n">
        <f aca="false">IF(coding!$J60="",0,IF(ISNUMBER(SEARCH("T1",coding!$J60)),1,0))</f>
        <v>0</v>
      </c>
      <c r="O60" s="1" t="n">
        <f aca="false">IF(coding!$J60="",0,IF(ISNUMBER(SEARCH("T2",coding!$J60)),1,0))</f>
        <v>0</v>
      </c>
      <c r="P60" s="1" t="n">
        <f aca="false">IF(coding!$J60="",0,IF(ISNUMBER(SEARCH("T3",coding!$J60)),1,0))</f>
        <v>0</v>
      </c>
      <c r="Q60" s="1" t="n">
        <f aca="false">IF(coding!$J60="",0,IF(ISNUMBER(SEARCH("T4",coding!$J60)),1,0))</f>
        <v>0</v>
      </c>
      <c r="R60" s="1" t="n">
        <f aca="false">IF(coding!$J60="",0,IF(ISNUMBER(SEARCH("T5",coding!$J60)),1,0))</f>
        <v>0</v>
      </c>
      <c r="S60" s="1" t="n">
        <f aca="false">IF(coding!$J60="",0,IF(ISNUMBER(SEARCH("T6",coding!$J60)),1,0))</f>
        <v>0</v>
      </c>
      <c r="T60" s="1" t="n">
        <f aca="false">IF(coding!$J60="",0,IF(ISNUMBER(SEARCH("T7",coding!$J60)),1,0))</f>
        <v>0</v>
      </c>
      <c r="U60" s="1" t="n">
        <f aca="false">IF(coding!$J60="",0,IF(ISNUMBER(SEARCH("T8",coding!$J60)),1,0))</f>
        <v>0</v>
      </c>
      <c r="V60" s="1" t="n">
        <f aca="false">IF(coding!$J60="",0,IF(ISNUMBER(SEARCH("T9",coding!$J60)),1,0))</f>
        <v>0</v>
      </c>
      <c r="W60" s="1" t="n">
        <f aca="false">IF(coding!$O60="",0,IF(ISNUMBER(SEARCH("T1",coding!$O60)),1,0))</f>
        <v>1</v>
      </c>
      <c r="X60" s="1" t="n">
        <f aca="false">IF(coding!$O60="",0,IF(ISNUMBER(SEARCH("T2",coding!$O60)),1,0))</f>
        <v>0</v>
      </c>
      <c r="Y60" s="1" t="n">
        <f aca="false">IF(coding!$O60="",0,IF(ISNUMBER(SEARCH("T3",coding!$O60)),1,0))</f>
        <v>0</v>
      </c>
      <c r="Z60" s="1" t="n">
        <f aca="false">IF(coding!$O60="",0,IF(ISNUMBER(SEARCH("T4",coding!$O60)),1,0))</f>
        <v>0</v>
      </c>
      <c r="AA60" s="1" t="n">
        <f aca="false">IF(coding!$O60="",0,IF(ISNUMBER(SEARCH("T5",coding!$O60)),1,0))</f>
        <v>0</v>
      </c>
      <c r="AB60" s="1" t="n">
        <f aca="false">IF(coding!$O60="",0,IF(ISNUMBER(SEARCH("T6",coding!$O60)),1,0))</f>
        <v>0</v>
      </c>
      <c r="AC60" s="1" t="n">
        <f aca="false">IF(coding!$O60="",0,IF(ISNUMBER(SEARCH("T7",coding!$O60)),1,0))</f>
        <v>0</v>
      </c>
      <c r="AD60" s="1" t="n">
        <f aca="false">IF(coding!$O60="",0,IF(ISNUMBER(SEARCH("T8",coding!$O60)),1,0))</f>
        <v>0</v>
      </c>
      <c r="AE60" s="1" t="n">
        <f aca="false">IF(coding!$O60="",0,IF(ISNUMBER(SEARCH("T9",coding!$O60)),1,0))</f>
        <v>0</v>
      </c>
      <c r="AF60" s="1" t="n">
        <f aca="false">SUMPRODUCT($E60:$M60,$N60:$V60)</f>
        <v>0</v>
      </c>
      <c r="AG60" s="1" t="n">
        <f aca="false">SUMPRODUCT(--(($E60:$M60+$N60:$V60)&gt;0))</f>
        <v>0</v>
      </c>
      <c r="AH60" s="1" t="str">
        <f aca="false">IF(AND($B60=1,$C60=1),IF($AG60=0,1,$AF60/$AG60),"")</f>
        <v/>
      </c>
      <c r="AI60" s="1" t="str">
        <f aca="false">IF(AND($B60=1,$C60=1),IF(coding!$I60=coding!$J60,1,0),"")</f>
        <v/>
      </c>
      <c r="AJ60" s="1" t="str">
        <f aca="false">IF($B60=1,IF(SUMPRODUCT(--(($E60:$M60+$W60:$AE60)&gt;0))=0,1,SUMPRODUCT($E60:$M60,$W60:$AE60)/SUMPRODUCT(--(($E60:$M60+$W60:$AE60)&gt;0))),"")</f>
        <v/>
      </c>
      <c r="AK60" s="1" t="str">
        <f aca="false">IF($C60=1,IF(SUMPRODUCT(--(($N60:$V60+$W60:$AE60)&gt;0))=0,1,SUMPRODUCT($N60:$V60,$W60:$AE60)/SUMPRODUCT(--(($N60:$V60+$W60:$AE60)&gt;0))),"")</f>
        <v/>
      </c>
    </row>
    <row r="61" customFormat="false" ht="15" hidden="false" customHeight="true" outlineLevel="0" collapsed="false">
      <c r="A61" s="1" t="str">
        <f aca="false">coding!$A61</f>
        <v>P060</v>
      </c>
      <c r="B61" s="1" t="n">
        <f aca="false">IF(coding!$I61="",0,1)</f>
        <v>0</v>
      </c>
      <c r="C61" s="1" t="n">
        <f aca="false">IF(coding!$J61="",0,1)</f>
        <v>0</v>
      </c>
      <c r="D61" s="1" t="n">
        <f aca="false">IF(coding!$O61="",0,1)</f>
        <v>1</v>
      </c>
      <c r="E61" s="1" t="n">
        <f aca="false">IF(coding!$I61="",0,IF(ISNUMBER(SEARCH("T1",coding!$I61)),1,0))</f>
        <v>0</v>
      </c>
      <c r="F61" s="1" t="n">
        <f aca="false">IF(coding!$I61="",0,IF(ISNUMBER(SEARCH("T2",coding!$I61)),1,0))</f>
        <v>0</v>
      </c>
      <c r="G61" s="1" t="n">
        <f aca="false">IF(coding!$I61="",0,IF(ISNUMBER(SEARCH("T3",coding!$I61)),1,0))</f>
        <v>0</v>
      </c>
      <c r="H61" s="1" t="n">
        <f aca="false">IF(coding!$I61="",0,IF(ISNUMBER(SEARCH("T4",coding!$I61)),1,0))</f>
        <v>0</v>
      </c>
      <c r="I61" s="1" t="n">
        <f aca="false">IF(coding!$I61="",0,IF(ISNUMBER(SEARCH("T5",coding!$I61)),1,0))</f>
        <v>0</v>
      </c>
      <c r="J61" s="1" t="n">
        <f aca="false">IF(coding!$I61="",0,IF(ISNUMBER(SEARCH("T6",coding!$I61)),1,0))</f>
        <v>0</v>
      </c>
      <c r="K61" s="1" t="n">
        <f aca="false">IF(coding!$I61="",0,IF(ISNUMBER(SEARCH("T7",coding!$I61)),1,0))</f>
        <v>0</v>
      </c>
      <c r="L61" s="1" t="n">
        <f aca="false">IF(coding!$I61="",0,IF(ISNUMBER(SEARCH("T8",coding!$I61)),1,0))</f>
        <v>0</v>
      </c>
      <c r="M61" s="1" t="n">
        <f aca="false">IF(coding!$I61="",0,IF(ISNUMBER(SEARCH("T9",coding!$I61)),1,0))</f>
        <v>0</v>
      </c>
      <c r="N61" s="1" t="n">
        <f aca="false">IF(coding!$J61="",0,IF(ISNUMBER(SEARCH("T1",coding!$J61)),1,0))</f>
        <v>0</v>
      </c>
      <c r="O61" s="1" t="n">
        <f aca="false">IF(coding!$J61="",0,IF(ISNUMBER(SEARCH("T2",coding!$J61)),1,0))</f>
        <v>0</v>
      </c>
      <c r="P61" s="1" t="n">
        <f aca="false">IF(coding!$J61="",0,IF(ISNUMBER(SEARCH("T3",coding!$J61)),1,0))</f>
        <v>0</v>
      </c>
      <c r="Q61" s="1" t="n">
        <f aca="false">IF(coding!$J61="",0,IF(ISNUMBER(SEARCH("T4",coding!$J61)),1,0))</f>
        <v>0</v>
      </c>
      <c r="R61" s="1" t="n">
        <f aca="false">IF(coding!$J61="",0,IF(ISNUMBER(SEARCH("T5",coding!$J61)),1,0))</f>
        <v>0</v>
      </c>
      <c r="S61" s="1" t="n">
        <f aca="false">IF(coding!$J61="",0,IF(ISNUMBER(SEARCH("T6",coding!$J61)),1,0))</f>
        <v>0</v>
      </c>
      <c r="T61" s="1" t="n">
        <f aca="false">IF(coding!$J61="",0,IF(ISNUMBER(SEARCH("T7",coding!$J61)),1,0))</f>
        <v>0</v>
      </c>
      <c r="U61" s="1" t="n">
        <f aca="false">IF(coding!$J61="",0,IF(ISNUMBER(SEARCH("T8",coding!$J61)),1,0))</f>
        <v>0</v>
      </c>
      <c r="V61" s="1" t="n">
        <f aca="false">IF(coding!$J61="",0,IF(ISNUMBER(SEARCH("T9",coding!$J61)),1,0))</f>
        <v>0</v>
      </c>
      <c r="W61" s="1" t="n">
        <f aca="false">IF(coding!$O61="",0,IF(ISNUMBER(SEARCH("T1",coding!$O61)),1,0))</f>
        <v>1</v>
      </c>
      <c r="X61" s="1" t="n">
        <f aca="false">IF(coding!$O61="",0,IF(ISNUMBER(SEARCH("T2",coding!$O61)),1,0))</f>
        <v>1</v>
      </c>
      <c r="Y61" s="1" t="n">
        <f aca="false">IF(coding!$O61="",0,IF(ISNUMBER(SEARCH("T3",coding!$O61)),1,0))</f>
        <v>0</v>
      </c>
      <c r="Z61" s="1" t="n">
        <f aca="false">IF(coding!$O61="",0,IF(ISNUMBER(SEARCH("T4",coding!$O61)),1,0))</f>
        <v>0</v>
      </c>
      <c r="AA61" s="1" t="n">
        <f aca="false">IF(coding!$O61="",0,IF(ISNUMBER(SEARCH("T5",coding!$O61)),1,0))</f>
        <v>0</v>
      </c>
      <c r="AB61" s="1" t="n">
        <f aca="false">IF(coding!$O61="",0,IF(ISNUMBER(SEARCH("T6",coding!$O61)),1,0))</f>
        <v>0</v>
      </c>
      <c r="AC61" s="1" t="n">
        <f aca="false">IF(coding!$O61="",0,IF(ISNUMBER(SEARCH("T7",coding!$O61)),1,0))</f>
        <v>0</v>
      </c>
      <c r="AD61" s="1" t="n">
        <f aca="false">IF(coding!$O61="",0,IF(ISNUMBER(SEARCH("T8",coding!$O61)),1,0))</f>
        <v>0</v>
      </c>
      <c r="AE61" s="1" t="n">
        <f aca="false">IF(coding!$O61="",0,IF(ISNUMBER(SEARCH("T9",coding!$O61)),1,0))</f>
        <v>0</v>
      </c>
      <c r="AF61" s="1" t="n">
        <f aca="false">SUMPRODUCT($E61:$M61,$N61:$V61)</f>
        <v>0</v>
      </c>
      <c r="AG61" s="1" t="n">
        <f aca="false">SUMPRODUCT(--(($E61:$M61+$N61:$V61)&gt;0))</f>
        <v>0</v>
      </c>
      <c r="AH61" s="1" t="str">
        <f aca="false">IF(AND($B61=1,$C61=1),IF($AG61=0,1,$AF61/$AG61),"")</f>
        <v/>
      </c>
      <c r="AI61" s="1" t="str">
        <f aca="false">IF(AND($B61=1,$C61=1),IF(coding!$I61=coding!$J61,1,0),"")</f>
        <v/>
      </c>
      <c r="AJ61" s="1" t="str">
        <f aca="false">IF($B61=1,IF(SUMPRODUCT(--(($E61:$M61+$W61:$AE61)&gt;0))=0,1,SUMPRODUCT($E61:$M61,$W61:$AE61)/SUMPRODUCT(--(($E61:$M61+$W61:$AE61)&gt;0))),"")</f>
        <v/>
      </c>
      <c r="AK61" s="1" t="str">
        <f aca="false">IF($C61=1,IF(SUMPRODUCT(--(($N61:$V61+$W61:$AE61)&gt;0))=0,1,SUMPRODUCT($N61:$V61,$W61:$AE61)/SUMPRODUCT(--(($N61:$V61+$W61:$AE61)&gt;0))),"")</f>
        <v/>
      </c>
    </row>
    <row r="62" customFormat="false" ht="15" hidden="false" customHeight="true" outlineLevel="0" collapsed="false">
      <c r="A62" s="1" t="str">
        <f aca="false">coding!$A62</f>
        <v>P061</v>
      </c>
      <c r="B62" s="1" t="n">
        <f aca="false">IF(coding!$I62="",0,1)</f>
        <v>0</v>
      </c>
      <c r="C62" s="1" t="n">
        <f aca="false">IF(coding!$J62="",0,1)</f>
        <v>0</v>
      </c>
      <c r="D62" s="1" t="n">
        <f aca="false">IF(coding!$O62="",0,1)</f>
        <v>1</v>
      </c>
      <c r="E62" s="1" t="n">
        <f aca="false">IF(coding!$I62="",0,IF(ISNUMBER(SEARCH("T1",coding!$I62)),1,0))</f>
        <v>0</v>
      </c>
      <c r="F62" s="1" t="n">
        <f aca="false">IF(coding!$I62="",0,IF(ISNUMBER(SEARCH("T2",coding!$I62)),1,0))</f>
        <v>0</v>
      </c>
      <c r="G62" s="1" t="n">
        <f aca="false">IF(coding!$I62="",0,IF(ISNUMBER(SEARCH("T3",coding!$I62)),1,0))</f>
        <v>0</v>
      </c>
      <c r="H62" s="1" t="n">
        <f aca="false">IF(coding!$I62="",0,IF(ISNUMBER(SEARCH("T4",coding!$I62)),1,0))</f>
        <v>0</v>
      </c>
      <c r="I62" s="1" t="n">
        <f aca="false">IF(coding!$I62="",0,IF(ISNUMBER(SEARCH("T5",coding!$I62)),1,0))</f>
        <v>0</v>
      </c>
      <c r="J62" s="1" t="n">
        <f aca="false">IF(coding!$I62="",0,IF(ISNUMBER(SEARCH("T6",coding!$I62)),1,0))</f>
        <v>0</v>
      </c>
      <c r="K62" s="1" t="n">
        <f aca="false">IF(coding!$I62="",0,IF(ISNUMBER(SEARCH("T7",coding!$I62)),1,0))</f>
        <v>0</v>
      </c>
      <c r="L62" s="1" t="n">
        <f aca="false">IF(coding!$I62="",0,IF(ISNUMBER(SEARCH("T8",coding!$I62)),1,0))</f>
        <v>0</v>
      </c>
      <c r="M62" s="1" t="n">
        <f aca="false">IF(coding!$I62="",0,IF(ISNUMBER(SEARCH("T9",coding!$I62)),1,0))</f>
        <v>0</v>
      </c>
      <c r="N62" s="1" t="n">
        <f aca="false">IF(coding!$J62="",0,IF(ISNUMBER(SEARCH("T1",coding!$J62)),1,0))</f>
        <v>0</v>
      </c>
      <c r="O62" s="1" t="n">
        <f aca="false">IF(coding!$J62="",0,IF(ISNUMBER(SEARCH("T2",coding!$J62)),1,0))</f>
        <v>0</v>
      </c>
      <c r="P62" s="1" t="n">
        <f aca="false">IF(coding!$J62="",0,IF(ISNUMBER(SEARCH("T3",coding!$J62)),1,0))</f>
        <v>0</v>
      </c>
      <c r="Q62" s="1" t="n">
        <f aca="false">IF(coding!$J62="",0,IF(ISNUMBER(SEARCH("T4",coding!$J62)),1,0))</f>
        <v>0</v>
      </c>
      <c r="R62" s="1" t="n">
        <f aca="false">IF(coding!$J62="",0,IF(ISNUMBER(SEARCH("T5",coding!$J62)),1,0))</f>
        <v>0</v>
      </c>
      <c r="S62" s="1" t="n">
        <f aca="false">IF(coding!$J62="",0,IF(ISNUMBER(SEARCH("T6",coding!$J62)),1,0))</f>
        <v>0</v>
      </c>
      <c r="T62" s="1" t="n">
        <f aca="false">IF(coding!$J62="",0,IF(ISNUMBER(SEARCH("T7",coding!$J62)),1,0))</f>
        <v>0</v>
      </c>
      <c r="U62" s="1" t="n">
        <f aca="false">IF(coding!$J62="",0,IF(ISNUMBER(SEARCH("T8",coding!$J62)),1,0))</f>
        <v>0</v>
      </c>
      <c r="V62" s="1" t="n">
        <f aca="false">IF(coding!$J62="",0,IF(ISNUMBER(SEARCH("T9",coding!$J62)),1,0))</f>
        <v>0</v>
      </c>
      <c r="W62" s="1" t="n">
        <f aca="false">IF(coding!$O62="",0,IF(ISNUMBER(SEARCH("T1",coding!$O62)),1,0))</f>
        <v>1</v>
      </c>
      <c r="X62" s="1" t="n">
        <f aca="false">IF(coding!$O62="",0,IF(ISNUMBER(SEARCH("T2",coding!$O62)),1,0))</f>
        <v>0</v>
      </c>
      <c r="Y62" s="1" t="n">
        <f aca="false">IF(coding!$O62="",0,IF(ISNUMBER(SEARCH("T3",coding!$O62)),1,0))</f>
        <v>1</v>
      </c>
      <c r="Z62" s="1" t="n">
        <f aca="false">IF(coding!$O62="",0,IF(ISNUMBER(SEARCH("T4",coding!$O62)),1,0))</f>
        <v>0</v>
      </c>
      <c r="AA62" s="1" t="n">
        <f aca="false">IF(coding!$O62="",0,IF(ISNUMBER(SEARCH("T5",coding!$O62)),1,0))</f>
        <v>0</v>
      </c>
      <c r="AB62" s="1" t="n">
        <f aca="false">IF(coding!$O62="",0,IF(ISNUMBER(SEARCH("T6",coding!$O62)),1,0))</f>
        <v>0</v>
      </c>
      <c r="AC62" s="1" t="n">
        <f aca="false">IF(coding!$O62="",0,IF(ISNUMBER(SEARCH("T7",coding!$O62)),1,0))</f>
        <v>0</v>
      </c>
      <c r="AD62" s="1" t="n">
        <f aca="false">IF(coding!$O62="",0,IF(ISNUMBER(SEARCH("T8",coding!$O62)),1,0))</f>
        <v>0</v>
      </c>
      <c r="AE62" s="1" t="n">
        <f aca="false">IF(coding!$O62="",0,IF(ISNUMBER(SEARCH("T9",coding!$O62)),1,0))</f>
        <v>0</v>
      </c>
      <c r="AF62" s="1" t="n">
        <f aca="false">SUMPRODUCT($E62:$M62,$N62:$V62)</f>
        <v>0</v>
      </c>
      <c r="AG62" s="1" t="n">
        <f aca="false">SUMPRODUCT(--(($E62:$M62+$N62:$V62)&gt;0))</f>
        <v>0</v>
      </c>
      <c r="AH62" s="1" t="str">
        <f aca="false">IF(AND($B62=1,$C62=1),IF($AG62=0,1,$AF62/$AG62),"")</f>
        <v/>
      </c>
      <c r="AI62" s="1" t="str">
        <f aca="false">IF(AND($B62=1,$C62=1),IF(coding!$I62=coding!$J62,1,0),"")</f>
        <v/>
      </c>
      <c r="AJ62" s="1" t="str">
        <f aca="false">IF($B62=1,IF(SUMPRODUCT(--(($E62:$M62+$W62:$AE62)&gt;0))=0,1,SUMPRODUCT($E62:$M62,$W62:$AE62)/SUMPRODUCT(--(($E62:$M62+$W62:$AE62)&gt;0))),"")</f>
        <v/>
      </c>
      <c r="AK62" s="1" t="str">
        <f aca="false">IF($C62=1,IF(SUMPRODUCT(--(($N62:$V62+$W62:$AE62)&gt;0))=0,1,SUMPRODUCT($N62:$V62,$W62:$AE62)/SUMPRODUCT(--(($N62:$V62+$W62:$AE62)&gt;0))),"")</f>
        <v/>
      </c>
    </row>
    <row r="63" customFormat="false" ht="15" hidden="false" customHeight="true" outlineLevel="0" collapsed="false">
      <c r="A63" s="1" t="str">
        <f aca="false">coding!$A63</f>
        <v>P062</v>
      </c>
      <c r="B63" s="1" t="n">
        <f aca="false">IF(coding!$I63="",0,1)</f>
        <v>0</v>
      </c>
      <c r="C63" s="1" t="n">
        <f aca="false">IF(coding!$J63="",0,1)</f>
        <v>0</v>
      </c>
      <c r="D63" s="1" t="n">
        <f aca="false">IF(coding!$O63="",0,1)</f>
        <v>1</v>
      </c>
      <c r="E63" s="1" t="n">
        <f aca="false">IF(coding!$I63="",0,IF(ISNUMBER(SEARCH("T1",coding!$I63)),1,0))</f>
        <v>0</v>
      </c>
      <c r="F63" s="1" t="n">
        <f aca="false">IF(coding!$I63="",0,IF(ISNUMBER(SEARCH("T2",coding!$I63)),1,0))</f>
        <v>0</v>
      </c>
      <c r="G63" s="1" t="n">
        <f aca="false">IF(coding!$I63="",0,IF(ISNUMBER(SEARCH("T3",coding!$I63)),1,0))</f>
        <v>0</v>
      </c>
      <c r="H63" s="1" t="n">
        <f aca="false">IF(coding!$I63="",0,IF(ISNUMBER(SEARCH("T4",coding!$I63)),1,0))</f>
        <v>0</v>
      </c>
      <c r="I63" s="1" t="n">
        <f aca="false">IF(coding!$I63="",0,IF(ISNUMBER(SEARCH("T5",coding!$I63)),1,0))</f>
        <v>0</v>
      </c>
      <c r="J63" s="1" t="n">
        <f aca="false">IF(coding!$I63="",0,IF(ISNUMBER(SEARCH("T6",coding!$I63)),1,0))</f>
        <v>0</v>
      </c>
      <c r="K63" s="1" t="n">
        <f aca="false">IF(coding!$I63="",0,IF(ISNUMBER(SEARCH("T7",coding!$I63)),1,0))</f>
        <v>0</v>
      </c>
      <c r="L63" s="1" t="n">
        <f aca="false">IF(coding!$I63="",0,IF(ISNUMBER(SEARCH("T8",coding!$I63)),1,0))</f>
        <v>0</v>
      </c>
      <c r="M63" s="1" t="n">
        <f aca="false">IF(coding!$I63="",0,IF(ISNUMBER(SEARCH("T9",coding!$I63)),1,0))</f>
        <v>0</v>
      </c>
      <c r="N63" s="1" t="n">
        <f aca="false">IF(coding!$J63="",0,IF(ISNUMBER(SEARCH("T1",coding!$J63)),1,0))</f>
        <v>0</v>
      </c>
      <c r="O63" s="1" t="n">
        <f aca="false">IF(coding!$J63="",0,IF(ISNUMBER(SEARCH("T2",coding!$J63)),1,0))</f>
        <v>0</v>
      </c>
      <c r="P63" s="1" t="n">
        <f aca="false">IF(coding!$J63="",0,IF(ISNUMBER(SEARCH("T3",coding!$J63)),1,0))</f>
        <v>0</v>
      </c>
      <c r="Q63" s="1" t="n">
        <f aca="false">IF(coding!$J63="",0,IF(ISNUMBER(SEARCH("T4",coding!$J63)),1,0))</f>
        <v>0</v>
      </c>
      <c r="R63" s="1" t="n">
        <f aca="false">IF(coding!$J63="",0,IF(ISNUMBER(SEARCH("T5",coding!$J63)),1,0))</f>
        <v>0</v>
      </c>
      <c r="S63" s="1" t="n">
        <f aca="false">IF(coding!$J63="",0,IF(ISNUMBER(SEARCH("T6",coding!$J63)),1,0))</f>
        <v>0</v>
      </c>
      <c r="T63" s="1" t="n">
        <f aca="false">IF(coding!$J63="",0,IF(ISNUMBER(SEARCH("T7",coding!$J63)),1,0))</f>
        <v>0</v>
      </c>
      <c r="U63" s="1" t="n">
        <f aca="false">IF(coding!$J63="",0,IF(ISNUMBER(SEARCH("T8",coding!$J63)),1,0))</f>
        <v>0</v>
      </c>
      <c r="V63" s="1" t="n">
        <f aca="false">IF(coding!$J63="",0,IF(ISNUMBER(SEARCH("T9",coding!$J63)),1,0))</f>
        <v>0</v>
      </c>
      <c r="W63" s="1" t="n">
        <f aca="false">IF(coding!$O63="",0,IF(ISNUMBER(SEARCH("T1",coding!$O63)),1,0))</f>
        <v>1</v>
      </c>
      <c r="X63" s="1" t="n">
        <f aca="false">IF(coding!$O63="",0,IF(ISNUMBER(SEARCH("T2",coding!$O63)),1,0))</f>
        <v>1</v>
      </c>
      <c r="Y63" s="1" t="n">
        <f aca="false">IF(coding!$O63="",0,IF(ISNUMBER(SEARCH("T3",coding!$O63)),1,0))</f>
        <v>0</v>
      </c>
      <c r="Z63" s="1" t="n">
        <f aca="false">IF(coding!$O63="",0,IF(ISNUMBER(SEARCH("T4",coding!$O63)),1,0))</f>
        <v>0</v>
      </c>
      <c r="AA63" s="1" t="n">
        <f aca="false">IF(coding!$O63="",0,IF(ISNUMBER(SEARCH("T5",coding!$O63)),1,0))</f>
        <v>0</v>
      </c>
      <c r="AB63" s="1" t="n">
        <f aca="false">IF(coding!$O63="",0,IF(ISNUMBER(SEARCH("T6",coding!$O63)),1,0))</f>
        <v>0</v>
      </c>
      <c r="AC63" s="1" t="n">
        <f aca="false">IF(coding!$O63="",0,IF(ISNUMBER(SEARCH("T7",coding!$O63)),1,0))</f>
        <v>0</v>
      </c>
      <c r="AD63" s="1" t="n">
        <f aca="false">IF(coding!$O63="",0,IF(ISNUMBER(SEARCH("T8",coding!$O63)),1,0))</f>
        <v>0</v>
      </c>
      <c r="AE63" s="1" t="n">
        <f aca="false">IF(coding!$O63="",0,IF(ISNUMBER(SEARCH("T9",coding!$O63)),1,0))</f>
        <v>0</v>
      </c>
      <c r="AF63" s="1" t="n">
        <f aca="false">SUMPRODUCT($E63:$M63,$N63:$V63)</f>
        <v>0</v>
      </c>
      <c r="AG63" s="1" t="n">
        <f aca="false">SUMPRODUCT(--(($E63:$M63+$N63:$V63)&gt;0))</f>
        <v>0</v>
      </c>
      <c r="AH63" s="1" t="str">
        <f aca="false">IF(AND($B63=1,$C63=1),IF($AG63=0,1,$AF63/$AG63),"")</f>
        <v/>
      </c>
      <c r="AI63" s="1" t="str">
        <f aca="false">IF(AND($B63=1,$C63=1),IF(coding!$I63=coding!$J63,1,0),"")</f>
        <v/>
      </c>
      <c r="AJ63" s="1" t="str">
        <f aca="false">IF($B63=1,IF(SUMPRODUCT(--(($E63:$M63+$W63:$AE63)&gt;0))=0,1,SUMPRODUCT($E63:$M63,$W63:$AE63)/SUMPRODUCT(--(($E63:$M63+$W63:$AE63)&gt;0))),"")</f>
        <v/>
      </c>
      <c r="AK63" s="1" t="str">
        <f aca="false">IF($C63=1,IF(SUMPRODUCT(--(($N63:$V63+$W63:$AE63)&gt;0))=0,1,SUMPRODUCT($N63:$V63,$W63:$AE63)/SUMPRODUCT(--(($N63:$V63+$W63:$AE63)&gt;0))),"")</f>
        <v/>
      </c>
    </row>
    <row r="64" customFormat="false" ht="15" hidden="false" customHeight="true" outlineLevel="0" collapsed="false">
      <c r="A64" s="1" t="str">
        <f aca="false">coding!$A64</f>
        <v>P063</v>
      </c>
      <c r="B64" s="1" t="n">
        <f aca="false">IF(coding!$I64="",0,1)</f>
        <v>0</v>
      </c>
      <c r="C64" s="1" t="n">
        <f aca="false">IF(coding!$J64="",0,1)</f>
        <v>0</v>
      </c>
      <c r="D64" s="1" t="n">
        <f aca="false">IF(coding!$O64="",0,1)</f>
        <v>1</v>
      </c>
      <c r="E64" s="1" t="n">
        <f aca="false">IF(coding!$I64="",0,IF(ISNUMBER(SEARCH("T1",coding!$I64)),1,0))</f>
        <v>0</v>
      </c>
      <c r="F64" s="1" t="n">
        <f aca="false">IF(coding!$I64="",0,IF(ISNUMBER(SEARCH("T2",coding!$I64)),1,0))</f>
        <v>0</v>
      </c>
      <c r="G64" s="1" t="n">
        <f aca="false">IF(coding!$I64="",0,IF(ISNUMBER(SEARCH("T3",coding!$I64)),1,0))</f>
        <v>0</v>
      </c>
      <c r="H64" s="1" t="n">
        <f aca="false">IF(coding!$I64="",0,IF(ISNUMBER(SEARCH("T4",coding!$I64)),1,0))</f>
        <v>0</v>
      </c>
      <c r="I64" s="1" t="n">
        <f aca="false">IF(coding!$I64="",0,IF(ISNUMBER(SEARCH("T5",coding!$I64)),1,0))</f>
        <v>0</v>
      </c>
      <c r="J64" s="1" t="n">
        <f aca="false">IF(coding!$I64="",0,IF(ISNUMBER(SEARCH("T6",coding!$I64)),1,0))</f>
        <v>0</v>
      </c>
      <c r="K64" s="1" t="n">
        <f aca="false">IF(coding!$I64="",0,IF(ISNUMBER(SEARCH("T7",coding!$I64)),1,0))</f>
        <v>0</v>
      </c>
      <c r="L64" s="1" t="n">
        <f aca="false">IF(coding!$I64="",0,IF(ISNUMBER(SEARCH("T8",coding!$I64)),1,0))</f>
        <v>0</v>
      </c>
      <c r="M64" s="1" t="n">
        <f aca="false">IF(coding!$I64="",0,IF(ISNUMBER(SEARCH("T9",coding!$I64)),1,0))</f>
        <v>0</v>
      </c>
      <c r="N64" s="1" t="n">
        <f aca="false">IF(coding!$J64="",0,IF(ISNUMBER(SEARCH("T1",coding!$J64)),1,0))</f>
        <v>0</v>
      </c>
      <c r="O64" s="1" t="n">
        <f aca="false">IF(coding!$J64="",0,IF(ISNUMBER(SEARCH("T2",coding!$J64)),1,0))</f>
        <v>0</v>
      </c>
      <c r="P64" s="1" t="n">
        <f aca="false">IF(coding!$J64="",0,IF(ISNUMBER(SEARCH("T3",coding!$J64)),1,0))</f>
        <v>0</v>
      </c>
      <c r="Q64" s="1" t="n">
        <f aca="false">IF(coding!$J64="",0,IF(ISNUMBER(SEARCH("T4",coding!$J64)),1,0))</f>
        <v>0</v>
      </c>
      <c r="R64" s="1" t="n">
        <f aca="false">IF(coding!$J64="",0,IF(ISNUMBER(SEARCH("T5",coding!$J64)),1,0))</f>
        <v>0</v>
      </c>
      <c r="S64" s="1" t="n">
        <f aca="false">IF(coding!$J64="",0,IF(ISNUMBER(SEARCH("T6",coding!$J64)),1,0))</f>
        <v>0</v>
      </c>
      <c r="T64" s="1" t="n">
        <f aca="false">IF(coding!$J64="",0,IF(ISNUMBER(SEARCH("T7",coding!$J64)),1,0))</f>
        <v>0</v>
      </c>
      <c r="U64" s="1" t="n">
        <f aca="false">IF(coding!$J64="",0,IF(ISNUMBER(SEARCH("T8",coding!$J64)),1,0))</f>
        <v>0</v>
      </c>
      <c r="V64" s="1" t="n">
        <f aca="false">IF(coding!$J64="",0,IF(ISNUMBER(SEARCH("T9",coding!$J64)),1,0))</f>
        <v>0</v>
      </c>
      <c r="W64" s="1" t="n">
        <f aca="false">IF(coding!$O64="",0,IF(ISNUMBER(SEARCH("T1",coding!$O64)),1,0))</f>
        <v>1</v>
      </c>
      <c r="X64" s="1" t="n">
        <f aca="false">IF(coding!$O64="",0,IF(ISNUMBER(SEARCH("T2",coding!$O64)),1,0))</f>
        <v>1</v>
      </c>
      <c r="Y64" s="1" t="n">
        <f aca="false">IF(coding!$O64="",0,IF(ISNUMBER(SEARCH("T3",coding!$O64)),1,0))</f>
        <v>0</v>
      </c>
      <c r="Z64" s="1" t="n">
        <f aca="false">IF(coding!$O64="",0,IF(ISNUMBER(SEARCH("T4",coding!$O64)),1,0))</f>
        <v>1</v>
      </c>
      <c r="AA64" s="1" t="n">
        <f aca="false">IF(coding!$O64="",0,IF(ISNUMBER(SEARCH("T5",coding!$O64)),1,0))</f>
        <v>0</v>
      </c>
      <c r="AB64" s="1" t="n">
        <f aca="false">IF(coding!$O64="",0,IF(ISNUMBER(SEARCH("T6",coding!$O64)),1,0))</f>
        <v>0</v>
      </c>
      <c r="AC64" s="1" t="n">
        <f aca="false">IF(coding!$O64="",0,IF(ISNUMBER(SEARCH("T7",coding!$O64)),1,0))</f>
        <v>0</v>
      </c>
      <c r="AD64" s="1" t="n">
        <f aca="false">IF(coding!$O64="",0,IF(ISNUMBER(SEARCH("T8",coding!$O64)),1,0))</f>
        <v>0</v>
      </c>
      <c r="AE64" s="1" t="n">
        <f aca="false">IF(coding!$O64="",0,IF(ISNUMBER(SEARCH("T9",coding!$O64)),1,0))</f>
        <v>0</v>
      </c>
      <c r="AF64" s="1" t="n">
        <f aca="false">SUMPRODUCT($E64:$M64,$N64:$V64)</f>
        <v>0</v>
      </c>
      <c r="AG64" s="1" t="n">
        <f aca="false">SUMPRODUCT(--(($E64:$M64+$N64:$V64)&gt;0))</f>
        <v>0</v>
      </c>
      <c r="AH64" s="1" t="str">
        <f aca="false">IF(AND($B64=1,$C64=1),IF($AG64=0,1,$AF64/$AG64),"")</f>
        <v/>
      </c>
      <c r="AI64" s="1" t="str">
        <f aca="false">IF(AND($B64=1,$C64=1),IF(coding!$I64=coding!$J64,1,0),"")</f>
        <v/>
      </c>
      <c r="AJ64" s="1" t="str">
        <f aca="false">IF($B64=1,IF(SUMPRODUCT(--(($E64:$M64+$W64:$AE64)&gt;0))=0,1,SUMPRODUCT($E64:$M64,$W64:$AE64)/SUMPRODUCT(--(($E64:$M64+$W64:$AE64)&gt;0))),"")</f>
        <v/>
      </c>
      <c r="AK64" s="1" t="str">
        <f aca="false">IF($C64=1,IF(SUMPRODUCT(--(($N64:$V64+$W64:$AE64)&gt;0))=0,1,SUMPRODUCT($N64:$V64,$W64:$AE64)/SUMPRODUCT(--(($N64:$V64+$W64:$AE64)&gt;0))),"")</f>
        <v/>
      </c>
    </row>
    <row r="65" customFormat="false" ht="15" hidden="false" customHeight="true" outlineLevel="0" collapsed="false">
      <c r="A65" s="1" t="str">
        <f aca="false">coding!$A65</f>
        <v>P064</v>
      </c>
      <c r="B65" s="1" t="n">
        <f aca="false">IF(coding!$I65="",0,1)</f>
        <v>0</v>
      </c>
      <c r="C65" s="1" t="n">
        <f aca="false">IF(coding!$J65="",0,1)</f>
        <v>0</v>
      </c>
      <c r="D65" s="1" t="n">
        <f aca="false">IF(coding!$O65="",0,1)</f>
        <v>1</v>
      </c>
      <c r="E65" s="1" t="n">
        <f aca="false">IF(coding!$I65="",0,IF(ISNUMBER(SEARCH("T1",coding!$I65)),1,0))</f>
        <v>0</v>
      </c>
      <c r="F65" s="1" t="n">
        <f aca="false">IF(coding!$I65="",0,IF(ISNUMBER(SEARCH("T2",coding!$I65)),1,0))</f>
        <v>0</v>
      </c>
      <c r="G65" s="1" t="n">
        <f aca="false">IF(coding!$I65="",0,IF(ISNUMBER(SEARCH("T3",coding!$I65)),1,0))</f>
        <v>0</v>
      </c>
      <c r="H65" s="1" t="n">
        <f aca="false">IF(coding!$I65="",0,IF(ISNUMBER(SEARCH("T4",coding!$I65)),1,0))</f>
        <v>0</v>
      </c>
      <c r="I65" s="1" t="n">
        <f aca="false">IF(coding!$I65="",0,IF(ISNUMBER(SEARCH("T5",coding!$I65)),1,0))</f>
        <v>0</v>
      </c>
      <c r="J65" s="1" t="n">
        <f aca="false">IF(coding!$I65="",0,IF(ISNUMBER(SEARCH("T6",coding!$I65)),1,0))</f>
        <v>0</v>
      </c>
      <c r="K65" s="1" t="n">
        <f aca="false">IF(coding!$I65="",0,IF(ISNUMBER(SEARCH("T7",coding!$I65)),1,0))</f>
        <v>0</v>
      </c>
      <c r="L65" s="1" t="n">
        <f aca="false">IF(coding!$I65="",0,IF(ISNUMBER(SEARCH("T8",coding!$I65)),1,0))</f>
        <v>0</v>
      </c>
      <c r="M65" s="1" t="n">
        <f aca="false">IF(coding!$I65="",0,IF(ISNUMBER(SEARCH("T9",coding!$I65)),1,0))</f>
        <v>0</v>
      </c>
      <c r="N65" s="1" t="n">
        <f aca="false">IF(coding!$J65="",0,IF(ISNUMBER(SEARCH("T1",coding!$J65)),1,0))</f>
        <v>0</v>
      </c>
      <c r="O65" s="1" t="n">
        <f aca="false">IF(coding!$J65="",0,IF(ISNUMBER(SEARCH("T2",coding!$J65)),1,0))</f>
        <v>0</v>
      </c>
      <c r="P65" s="1" t="n">
        <f aca="false">IF(coding!$J65="",0,IF(ISNUMBER(SEARCH("T3",coding!$J65)),1,0))</f>
        <v>0</v>
      </c>
      <c r="Q65" s="1" t="n">
        <f aca="false">IF(coding!$J65="",0,IF(ISNUMBER(SEARCH("T4",coding!$J65)),1,0))</f>
        <v>0</v>
      </c>
      <c r="R65" s="1" t="n">
        <f aca="false">IF(coding!$J65="",0,IF(ISNUMBER(SEARCH("T5",coding!$J65)),1,0))</f>
        <v>0</v>
      </c>
      <c r="S65" s="1" t="n">
        <f aca="false">IF(coding!$J65="",0,IF(ISNUMBER(SEARCH("T6",coding!$J65)),1,0))</f>
        <v>0</v>
      </c>
      <c r="T65" s="1" t="n">
        <f aca="false">IF(coding!$J65="",0,IF(ISNUMBER(SEARCH("T7",coding!$J65)),1,0))</f>
        <v>0</v>
      </c>
      <c r="U65" s="1" t="n">
        <f aca="false">IF(coding!$J65="",0,IF(ISNUMBER(SEARCH("T8",coding!$J65)),1,0))</f>
        <v>0</v>
      </c>
      <c r="V65" s="1" t="n">
        <f aca="false">IF(coding!$J65="",0,IF(ISNUMBER(SEARCH("T9",coding!$J65)),1,0))</f>
        <v>0</v>
      </c>
      <c r="W65" s="1" t="n">
        <f aca="false">IF(coding!$O65="",0,IF(ISNUMBER(SEARCH("T1",coding!$O65)),1,0))</f>
        <v>1</v>
      </c>
      <c r="X65" s="1" t="n">
        <f aca="false">IF(coding!$O65="",0,IF(ISNUMBER(SEARCH("T2",coding!$O65)),1,0))</f>
        <v>0</v>
      </c>
      <c r="Y65" s="1" t="n">
        <f aca="false">IF(coding!$O65="",0,IF(ISNUMBER(SEARCH("T3",coding!$O65)),1,0))</f>
        <v>0</v>
      </c>
      <c r="Z65" s="1" t="n">
        <f aca="false">IF(coding!$O65="",0,IF(ISNUMBER(SEARCH("T4",coding!$O65)),1,0))</f>
        <v>0</v>
      </c>
      <c r="AA65" s="1" t="n">
        <f aca="false">IF(coding!$O65="",0,IF(ISNUMBER(SEARCH("T5",coding!$O65)),1,0))</f>
        <v>0</v>
      </c>
      <c r="AB65" s="1" t="n">
        <f aca="false">IF(coding!$O65="",0,IF(ISNUMBER(SEARCH("T6",coding!$O65)),1,0))</f>
        <v>0</v>
      </c>
      <c r="AC65" s="1" t="n">
        <f aca="false">IF(coding!$O65="",0,IF(ISNUMBER(SEARCH("T7",coding!$O65)),1,0))</f>
        <v>0</v>
      </c>
      <c r="AD65" s="1" t="n">
        <f aca="false">IF(coding!$O65="",0,IF(ISNUMBER(SEARCH("T8",coding!$O65)),1,0))</f>
        <v>0</v>
      </c>
      <c r="AE65" s="1" t="n">
        <f aca="false">IF(coding!$O65="",0,IF(ISNUMBER(SEARCH("T9",coding!$O65)),1,0))</f>
        <v>0</v>
      </c>
      <c r="AF65" s="1" t="n">
        <f aca="false">SUMPRODUCT($E65:$M65,$N65:$V65)</f>
        <v>0</v>
      </c>
      <c r="AG65" s="1" t="n">
        <f aca="false">SUMPRODUCT(--(($E65:$M65+$N65:$V65)&gt;0))</f>
        <v>0</v>
      </c>
      <c r="AH65" s="1" t="str">
        <f aca="false">IF(AND($B65=1,$C65=1),IF($AG65=0,1,$AF65/$AG65),"")</f>
        <v/>
      </c>
      <c r="AI65" s="1" t="str">
        <f aca="false">IF(AND($B65=1,$C65=1),IF(coding!$I65=coding!$J65,1,0),"")</f>
        <v/>
      </c>
      <c r="AJ65" s="1" t="str">
        <f aca="false">IF($B65=1,IF(SUMPRODUCT(--(($E65:$M65+$W65:$AE65)&gt;0))=0,1,SUMPRODUCT($E65:$M65,$W65:$AE65)/SUMPRODUCT(--(($E65:$M65+$W65:$AE65)&gt;0))),"")</f>
        <v/>
      </c>
      <c r="AK65" s="1" t="str">
        <f aca="false">IF($C65=1,IF(SUMPRODUCT(--(($N65:$V65+$W65:$AE65)&gt;0))=0,1,SUMPRODUCT($N65:$V65,$W65:$AE65)/SUMPRODUCT(--(($N65:$V65+$W65:$AE65)&gt;0))),"")</f>
        <v/>
      </c>
    </row>
    <row r="66" customFormat="false" ht="15" hidden="false" customHeight="true" outlineLevel="0" collapsed="false">
      <c r="A66" s="1" t="str">
        <f aca="false">coding!$A66</f>
        <v>P065</v>
      </c>
      <c r="B66" s="1" t="n">
        <f aca="false">IF(coding!$I66="",0,1)</f>
        <v>0</v>
      </c>
      <c r="C66" s="1" t="n">
        <f aca="false">IF(coding!$J66="",0,1)</f>
        <v>0</v>
      </c>
      <c r="D66" s="1" t="n">
        <f aca="false">IF(coding!$O66="",0,1)</f>
        <v>1</v>
      </c>
      <c r="E66" s="1" t="n">
        <f aca="false">IF(coding!$I66="",0,IF(ISNUMBER(SEARCH("T1",coding!$I66)),1,0))</f>
        <v>0</v>
      </c>
      <c r="F66" s="1" t="n">
        <f aca="false">IF(coding!$I66="",0,IF(ISNUMBER(SEARCH("T2",coding!$I66)),1,0))</f>
        <v>0</v>
      </c>
      <c r="G66" s="1" t="n">
        <f aca="false">IF(coding!$I66="",0,IF(ISNUMBER(SEARCH("T3",coding!$I66)),1,0))</f>
        <v>0</v>
      </c>
      <c r="H66" s="1" t="n">
        <f aca="false">IF(coding!$I66="",0,IF(ISNUMBER(SEARCH("T4",coding!$I66)),1,0))</f>
        <v>0</v>
      </c>
      <c r="I66" s="1" t="n">
        <f aca="false">IF(coding!$I66="",0,IF(ISNUMBER(SEARCH("T5",coding!$I66)),1,0))</f>
        <v>0</v>
      </c>
      <c r="J66" s="1" t="n">
        <f aca="false">IF(coding!$I66="",0,IF(ISNUMBER(SEARCH("T6",coding!$I66)),1,0))</f>
        <v>0</v>
      </c>
      <c r="K66" s="1" t="n">
        <f aca="false">IF(coding!$I66="",0,IF(ISNUMBER(SEARCH("T7",coding!$I66)),1,0))</f>
        <v>0</v>
      </c>
      <c r="L66" s="1" t="n">
        <f aca="false">IF(coding!$I66="",0,IF(ISNUMBER(SEARCH("T8",coding!$I66)),1,0))</f>
        <v>0</v>
      </c>
      <c r="M66" s="1" t="n">
        <f aca="false">IF(coding!$I66="",0,IF(ISNUMBER(SEARCH("T9",coding!$I66)),1,0))</f>
        <v>0</v>
      </c>
      <c r="N66" s="1" t="n">
        <f aca="false">IF(coding!$J66="",0,IF(ISNUMBER(SEARCH("T1",coding!$J66)),1,0))</f>
        <v>0</v>
      </c>
      <c r="O66" s="1" t="n">
        <f aca="false">IF(coding!$J66="",0,IF(ISNUMBER(SEARCH("T2",coding!$J66)),1,0))</f>
        <v>0</v>
      </c>
      <c r="P66" s="1" t="n">
        <f aca="false">IF(coding!$J66="",0,IF(ISNUMBER(SEARCH("T3",coding!$J66)),1,0))</f>
        <v>0</v>
      </c>
      <c r="Q66" s="1" t="n">
        <f aca="false">IF(coding!$J66="",0,IF(ISNUMBER(SEARCH("T4",coding!$J66)),1,0))</f>
        <v>0</v>
      </c>
      <c r="R66" s="1" t="n">
        <f aca="false">IF(coding!$J66="",0,IF(ISNUMBER(SEARCH("T5",coding!$J66)),1,0))</f>
        <v>0</v>
      </c>
      <c r="S66" s="1" t="n">
        <f aca="false">IF(coding!$J66="",0,IF(ISNUMBER(SEARCH("T6",coding!$J66)),1,0))</f>
        <v>0</v>
      </c>
      <c r="T66" s="1" t="n">
        <f aca="false">IF(coding!$J66="",0,IF(ISNUMBER(SEARCH("T7",coding!$J66)),1,0))</f>
        <v>0</v>
      </c>
      <c r="U66" s="1" t="n">
        <f aca="false">IF(coding!$J66="",0,IF(ISNUMBER(SEARCH("T8",coding!$J66)),1,0))</f>
        <v>0</v>
      </c>
      <c r="V66" s="1" t="n">
        <f aca="false">IF(coding!$J66="",0,IF(ISNUMBER(SEARCH("T9",coding!$J66)),1,0))</f>
        <v>0</v>
      </c>
      <c r="W66" s="1" t="n">
        <f aca="false">IF(coding!$O66="",0,IF(ISNUMBER(SEARCH("T1",coding!$O66)),1,0))</f>
        <v>1</v>
      </c>
      <c r="X66" s="1" t="n">
        <f aca="false">IF(coding!$O66="",0,IF(ISNUMBER(SEARCH("T2",coding!$O66)),1,0))</f>
        <v>1</v>
      </c>
      <c r="Y66" s="1" t="n">
        <f aca="false">IF(coding!$O66="",0,IF(ISNUMBER(SEARCH("T3",coding!$O66)),1,0))</f>
        <v>0</v>
      </c>
      <c r="Z66" s="1" t="n">
        <f aca="false">IF(coding!$O66="",0,IF(ISNUMBER(SEARCH("T4",coding!$O66)),1,0))</f>
        <v>0</v>
      </c>
      <c r="AA66" s="1" t="n">
        <f aca="false">IF(coding!$O66="",0,IF(ISNUMBER(SEARCH("T5",coding!$O66)),1,0))</f>
        <v>0</v>
      </c>
      <c r="AB66" s="1" t="n">
        <f aca="false">IF(coding!$O66="",0,IF(ISNUMBER(SEARCH("T6",coding!$O66)),1,0))</f>
        <v>0</v>
      </c>
      <c r="AC66" s="1" t="n">
        <f aca="false">IF(coding!$O66="",0,IF(ISNUMBER(SEARCH("T7",coding!$O66)),1,0))</f>
        <v>0</v>
      </c>
      <c r="AD66" s="1" t="n">
        <f aca="false">IF(coding!$O66="",0,IF(ISNUMBER(SEARCH("T8",coding!$O66)),1,0))</f>
        <v>0</v>
      </c>
      <c r="AE66" s="1" t="n">
        <f aca="false">IF(coding!$O66="",0,IF(ISNUMBER(SEARCH("T9",coding!$O66)),1,0))</f>
        <v>0</v>
      </c>
      <c r="AF66" s="1" t="n">
        <f aca="false">SUMPRODUCT($E66:$M66,$N66:$V66)</f>
        <v>0</v>
      </c>
      <c r="AG66" s="1" t="n">
        <f aca="false">SUMPRODUCT(--(($E66:$M66+$N66:$V66)&gt;0))</f>
        <v>0</v>
      </c>
      <c r="AH66" s="1" t="str">
        <f aca="false">IF(AND($B66=1,$C66=1),IF($AG66=0,1,$AF66/$AG66),"")</f>
        <v/>
      </c>
      <c r="AI66" s="1" t="str">
        <f aca="false">IF(AND($B66=1,$C66=1),IF(coding!$I66=coding!$J66,1,0),"")</f>
        <v/>
      </c>
      <c r="AJ66" s="1" t="str">
        <f aca="false">IF($B66=1,IF(SUMPRODUCT(--(($E66:$M66+$W66:$AE66)&gt;0))=0,1,SUMPRODUCT($E66:$M66,$W66:$AE66)/SUMPRODUCT(--(($E66:$M66+$W66:$AE66)&gt;0))),"")</f>
        <v/>
      </c>
      <c r="AK66" s="1" t="str">
        <f aca="false">IF($C66=1,IF(SUMPRODUCT(--(($N66:$V66+$W66:$AE66)&gt;0))=0,1,SUMPRODUCT($N66:$V66,$W66:$AE66)/SUMPRODUCT(--(($N66:$V66+$W66:$AE66)&gt;0))),"")</f>
        <v/>
      </c>
    </row>
    <row r="67" customFormat="false" ht="15" hidden="false" customHeight="true" outlineLevel="0" collapsed="false">
      <c r="A67" s="1" t="str">
        <f aca="false">coding!$A67</f>
        <v>P066</v>
      </c>
      <c r="B67" s="1" t="n">
        <f aca="false">IF(coding!$I67="",0,1)</f>
        <v>0</v>
      </c>
      <c r="C67" s="1" t="n">
        <f aca="false">IF(coding!$J67="",0,1)</f>
        <v>0</v>
      </c>
      <c r="D67" s="1" t="n">
        <f aca="false">IF(coding!$O67="",0,1)</f>
        <v>1</v>
      </c>
      <c r="E67" s="1" t="n">
        <f aca="false">IF(coding!$I67="",0,IF(ISNUMBER(SEARCH("T1",coding!$I67)),1,0))</f>
        <v>0</v>
      </c>
      <c r="F67" s="1" t="n">
        <f aca="false">IF(coding!$I67="",0,IF(ISNUMBER(SEARCH("T2",coding!$I67)),1,0))</f>
        <v>0</v>
      </c>
      <c r="G67" s="1" t="n">
        <f aca="false">IF(coding!$I67="",0,IF(ISNUMBER(SEARCH("T3",coding!$I67)),1,0))</f>
        <v>0</v>
      </c>
      <c r="H67" s="1" t="n">
        <f aca="false">IF(coding!$I67="",0,IF(ISNUMBER(SEARCH("T4",coding!$I67)),1,0))</f>
        <v>0</v>
      </c>
      <c r="I67" s="1" t="n">
        <f aca="false">IF(coding!$I67="",0,IF(ISNUMBER(SEARCH("T5",coding!$I67)),1,0))</f>
        <v>0</v>
      </c>
      <c r="J67" s="1" t="n">
        <f aca="false">IF(coding!$I67="",0,IF(ISNUMBER(SEARCH("T6",coding!$I67)),1,0))</f>
        <v>0</v>
      </c>
      <c r="K67" s="1" t="n">
        <f aca="false">IF(coding!$I67="",0,IF(ISNUMBER(SEARCH("T7",coding!$I67)),1,0))</f>
        <v>0</v>
      </c>
      <c r="L67" s="1" t="n">
        <f aca="false">IF(coding!$I67="",0,IF(ISNUMBER(SEARCH("T8",coding!$I67)),1,0))</f>
        <v>0</v>
      </c>
      <c r="M67" s="1" t="n">
        <f aca="false">IF(coding!$I67="",0,IF(ISNUMBER(SEARCH("T9",coding!$I67)),1,0))</f>
        <v>0</v>
      </c>
      <c r="N67" s="1" t="n">
        <f aca="false">IF(coding!$J67="",0,IF(ISNUMBER(SEARCH("T1",coding!$J67)),1,0))</f>
        <v>0</v>
      </c>
      <c r="O67" s="1" t="n">
        <f aca="false">IF(coding!$J67="",0,IF(ISNUMBER(SEARCH("T2",coding!$J67)),1,0))</f>
        <v>0</v>
      </c>
      <c r="P67" s="1" t="n">
        <f aca="false">IF(coding!$J67="",0,IF(ISNUMBER(SEARCH("T3",coding!$J67)),1,0))</f>
        <v>0</v>
      </c>
      <c r="Q67" s="1" t="n">
        <f aca="false">IF(coding!$J67="",0,IF(ISNUMBER(SEARCH("T4",coding!$J67)),1,0))</f>
        <v>0</v>
      </c>
      <c r="R67" s="1" t="n">
        <f aca="false">IF(coding!$J67="",0,IF(ISNUMBER(SEARCH("T5",coding!$J67)),1,0))</f>
        <v>0</v>
      </c>
      <c r="S67" s="1" t="n">
        <f aca="false">IF(coding!$J67="",0,IF(ISNUMBER(SEARCH("T6",coding!$J67)),1,0))</f>
        <v>0</v>
      </c>
      <c r="T67" s="1" t="n">
        <f aca="false">IF(coding!$J67="",0,IF(ISNUMBER(SEARCH("T7",coding!$J67)),1,0))</f>
        <v>0</v>
      </c>
      <c r="U67" s="1" t="n">
        <f aca="false">IF(coding!$J67="",0,IF(ISNUMBER(SEARCH("T8",coding!$J67)),1,0))</f>
        <v>0</v>
      </c>
      <c r="V67" s="1" t="n">
        <f aca="false">IF(coding!$J67="",0,IF(ISNUMBER(SEARCH("T9",coding!$J67)),1,0))</f>
        <v>0</v>
      </c>
      <c r="W67" s="1" t="n">
        <f aca="false">IF(coding!$O67="",0,IF(ISNUMBER(SEARCH("T1",coding!$O67)),1,0))</f>
        <v>1</v>
      </c>
      <c r="X67" s="1" t="n">
        <f aca="false">IF(coding!$O67="",0,IF(ISNUMBER(SEARCH("T2",coding!$O67)),1,0))</f>
        <v>0</v>
      </c>
      <c r="Y67" s="1" t="n">
        <f aca="false">IF(coding!$O67="",0,IF(ISNUMBER(SEARCH("T3",coding!$O67)),1,0))</f>
        <v>0</v>
      </c>
      <c r="Z67" s="1" t="n">
        <f aca="false">IF(coding!$O67="",0,IF(ISNUMBER(SEARCH("T4",coding!$O67)),1,0))</f>
        <v>0</v>
      </c>
      <c r="AA67" s="1" t="n">
        <f aca="false">IF(coding!$O67="",0,IF(ISNUMBER(SEARCH("T5",coding!$O67)),1,0))</f>
        <v>0</v>
      </c>
      <c r="AB67" s="1" t="n">
        <f aca="false">IF(coding!$O67="",0,IF(ISNUMBER(SEARCH("T6",coding!$O67)),1,0))</f>
        <v>0</v>
      </c>
      <c r="AC67" s="1" t="n">
        <f aca="false">IF(coding!$O67="",0,IF(ISNUMBER(SEARCH("T7",coding!$O67)),1,0))</f>
        <v>0</v>
      </c>
      <c r="AD67" s="1" t="n">
        <f aca="false">IF(coding!$O67="",0,IF(ISNUMBER(SEARCH("T8",coding!$O67)),1,0))</f>
        <v>0</v>
      </c>
      <c r="AE67" s="1" t="n">
        <f aca="false">IF(coding!$O67="",0,IF(ISNUMBER(SEARCH("T9",coding!$O67)),1,0))</f>
        <v>0</v>
      </c>
      <c r="AF67" s="1" t="n">
        <f aca="false">SUMPRODUCT($E67:$M67,$N67:$V67)</f>
        <v>0</v>
      </c>
      <c r="AG67" s="1" t="n">
        <f aca="false">SUMPRODUCT(--(($E67:$M67+$N67:$V67)&gt;0))</f>
        <v>0</v>
      </c>
      <c r="AH67" s="1" t="str">
        <f aca="false">IF(AND($B67=1,$C67=1),IF($AG67=0,1,$AF67/$AG67),"")</f>
        <v/>
      </c>
      <c r="AI67" s="1" t="str">
        <f aca="false">IF(AND($B67=1,$C67=1),IF(coding!$I67=coding!$J67,1,0),"")</f>
        <v/>
      </c>
      <c r="AJ67" s="1" t="str">
        <f aca="false">IF($B67=1,IF(SUMPRODUCT(--(($E67:$M67+$W67:$AE67)&gt;0))=0,1,SUMPRODUCT($E67:$M67,$W67:$AE67)/SUMPRODUCT(--(($E67:$M67+$W67:$AE67)&gt;0))),"")</f>
        <v/>
      </c>
      <c r="AK67" s="1" t="str">
        <f aca="false">IF($C67=1,IF(SUMPRODUCT(--(($N67:$V67+$W67:$AE67)&gt;0))=0,1,SUMPRODUCT($N67:$V67,$W67:$AE67)/SUMPRODUCT(--(($N67:$V67+$W67:$AE67)&gt;0))),"")</f>
        <v/>
      </c>
    </row>
    <row r="68" customFormat="false" ht="15" hidden="false" customHeight="true" outlineLevel="0" collapsed="false">
      <c r="A68" s="1" t="str">
        <f aca="false">coding!$A68</f>
        <v>P067</v>
      </c>
      <c r="B68" s="1" t="n">
        <f aca="false">IF(coding!$I68="",0,1)</f>
        <v>0</v>
      </c>
      <c r="C68" s="1" t="n">
        <f aca="false">IF(coding!$J68="",0,1)</f>
        <v>0</v>
      </c>
      <c r="D68" s="1" t="n">
        <f aca="false">IF(coding!$O68="",0,1)</f>
        <v>1</v>
      </c>
      <c r="E68" s="1" t="n">
        <f aca="false">IF(coding!$I68="",0,IF(ISNUMBER(SEARCH("T1",coding!$I68)),1,0))</f>
        <v>0</v>
      </c>
      <c r="F68" s="1" t="n">
        <f aca="false">IF(coding!$I68="",0,IF(ISNUMBER(SEARCH("T2",coding!$I68)),1,0))</f>
        <v>0</v>
      </c>
      <c r="G68" s="1" t="n">
        <f aca="false">IF(coding!$I68="",0,IF(ISNUMBER(SEARCH("T3",coding!$I68)),1,0))</f>
        <v>0</v>
      </c>
      <c r="H68" s="1" t="n">
        <f aca="false">IF(coding!$I68="",0,IF(ISNUMBER(SEARCH("T4",coding!$I68)),1,0))</f>
        <v>0</v>
      </c>
      <c r="I68" s="1" t="n">
        <f aca="false">IF(coding!$I68="",0,IF(ISNUMBER(SEARCH("T5",coding!$I68)),1,0))</f>
        <v>0</v>
      </c>
      <c r="J68" s="1" t="n">
        <f aca="false">IF(coding!$I68="",0,IF(ISNUMBER(SEARCH("T6",coding!$I68)),1,0))</f>
        <v>0</v>
      </c>
      <c r="K68" s="1" t="n">
        <f aca="false">IF(coding!$I68="",0,IF(ISNUMBER(SEARCH("T7",coding!$I68)),1,0))</f>
        <v>0</v>
      </c>
      <c r="L68" s="1" t="n">
        <f aca="false">IF(coding!$I68="",0,IF(ISNUMBER(SEARCH("T8",coding!$I68)),1,0))</f>
        <v>0</v>
      </c>
      <c r="M68" s="1" t="n">
        <f aca="false">IF(coding!$I68="",0,IF(ISNUMBER(SEARCH("T9",coding!$I68)),1,0))</f>
        <v>0</v>
      </c>
      <c r="N68" s="1" t="n">
        <f aca="false">IF(coding!$J68="",0,IF(ISNUMBER(SEARCH("T1",coding!$J68)),1,0))</f>
        <v>0</v>
      </c>
      <c r="O68" s="1" t="n">
        <f aca="false">IF(coding!$J68="",0,IF(ISNUMBER(SEARCH("T2",coding!$J68)),1,0))</f>
        <v>0</v>
      </c>
      <c r="P68" s="1" t="n">
        <f aca="false">IF(coding!$J68="",0,IF(ISNUMBER(SEARCH("T3",coding!$J68)),1,0))</f>
        <v>0</v>
      </c>
      <c r="Q68" s="1" t="n">
        <f aca="false">IF(coding!$J68="",0,IF(ISNUMBER(SEARCH("T4",coding!$J68)),1,0))</f>
        <v>0</v>
      </c>
      <c r="R68" s="1" t="n">
        <f aca="false">IF(coding!$J68="",0,IF(ISNUMBER(SEARCH("T5",coding!$J68)),1,0))</f>
        <v>0</v>
      </c>
      <c r="S68" s="1" t="n">
        <f aca="false">IF(coding!$J68="",0,IF(ISNUMBER(SEARCH("T6",coding!$J68)),1,0))</f>
        <v>0</v>
      </c>
      <c r="T68" s="1" t="n">
        <f aca="false">IF(coding!$J68="",0,IF(ISNUMBER(SEARCH("T7",coding!$J68)),1,0))</f>
        <v>0</v>
      </c>
      <c r="U68" s="1" t="n">
        <f aca="false">IF(coding!$J68="",0,IF(ISNUMBER(SEARCH("T8",coding!$J68)),1,0))</f>
        <v>0</v>
      </c>
      <c r="V68" s="1" t="n">
        <f aca="false">IF(coding!$J68="",0,IF(ISNUMBER(SEARCH("T9",coding!$J68)),1,0))</f>
        <v>0</v>
      </c>
      <c r="W68" s="1" t="n">
        <f aca="false">IF(coding!$O68="",0,IF(ISNUMBER(SEARCH("T1",coding!$O68)),1,0))</f>
        <v>0</v>
      </c>
      <c r="X68" s="1" t="n">
        <f aca="false">IF(coding!$O68="",0,IF(ISNUMBER(SEARCH("T2",coding!$O68)),1,0))</f>
        <v>1</v>
      </c>
      <c r="Y68" s="1" t="n">
        <f aca="false">IF(coding!$O68="",0,IF(ISNUMBER(SEARCH("T3",coding!$O68)),1,0))</f>
        <v>0</v>
      </c>
      <c r="Z68" s="1" t="n">
        <f aca="false">IF(coding!$O68="",0,IF(ISNUMBER(SEARCH("T4",coding!$O68)),1,0))</f>
        <v>0</v>
      </c>
      <c r="AA68" s="1" t="n">
        <f aca="false">IF(coding!$O68="",0,IF(ISNUMBER(SEARCH("T5",coding!$O68)),1,0))</f>
        <v>0</v>
      </c>
      <c r="AB68" s="1" t="n">
        <f aca="false">IF(coding!$O68="",0,IF(ISNUMBER(SEARCH("T6",coding!$O68)),1,0))</f>
        <v>0</v>
      </c>
      <c r="AC68" s="1" t="n">
        <f aca="false">IF(coding!$O68="",0,IF(ISNUMBER(SEARCH("T7",coding!$O68)),1,0))</f>
        <v>0</v>
      </c>
      <c r="AD68" s="1" t="n">
        <f aca="false">IF(coding!$O68="",0,IF(ISNUMBER(SEARCH("T8",coding!$O68)),1,0))</f>
        <v>0</v>
      </c>
      <c r="AE68" s="1" t="n">
        <f aca="false">IF(coding!$O68="",0,IF(ISNUMBER(SEARCH("T9",coding!$O68)),1,0))</f>
        <v>0</v>
      </c>
      <c r="AF68" s="1" t="n">
        <f aca="false">SUMPRODUCT($E68:$M68,$N68:$V68)</f>
        <v>0</v>
      </c>
      <c r="AG68" s="1" t="n">
        <f aca="false">SUMPRODUCT(--(($E68:$M68+$N68:$V68)&gt;0))</f>
        <v>0</v>
      </c>
      <c r="AH68" s="1" t="str">
        <f aca="false">IF(AND($B68=1,$C68=1),IF($AG68=0,1,$AF68/$AG68),"")</f>
        <v/>
      </c>
      <c r="AI68" s="1" t="str">
        <f aca="false">IF(AND($B68=1,$C68=1),IF(coding!$I68=coding!$J68,1,0),"")</f>
        <v/>
      </c>
      <c r="AJ68" s="1" t="str">
        <f aca="false">IF($B68=1,IF(SUMPRODUCT(--(($E68:$M68+$W68:$AE68)&gt;0))=0,1,SUMPRODUCT($E68:$M68,$W68:$AE68)/SUMPRODUCT(--(($E68:$M68+$W68:$AE68)&gt;0))),"")</f>
        <v/>
      </c>
      <c r="AK68" s="1" t="str">
        <f aca="false">IF($C68=1,IF(SUMPRODUCT(--(($N68:$V68+$W68:$AE68)&gt;0))=0,1,SUMPRODUCT($N68:$V68,$W68:$AE68)/SUMPRODUCT(--(($N68:$V68+$W68:$AE68)&gt;0))),"")</f>
        <v/>
      </c>
    </row>
    <row r="69" customFormat="false" ht="15" hidden="false" customHeight="true" outlineLevel="0" collapsed="false">
      <c r="A69" s="1" t="str">
        <f aca="false">coding!$A69</f>
        <v>P068</v>
      </c>
      <c r="B69" s="1" t="n">
        <f aca="false">IF(coding!$I69="",0,1)</f>
        <v>0</v>
      </c>
      <c r="C69" s="1" t="n">
        <f aca="false">IF(coding!$J69="",0,1)</f>
        <v>0</v>
      </c>
      <c r="D69" s="1" t="n">
        <f aca="false">IF(coding!$O69="",0,1)</f>
        <v>1</v>
      </c>
      <c r="E69" s="1" t="n">
        <f aca="false">IF(coding!$I69="",0,IF(ISNUMBER(SEARCH("T1",coding!$I69)),1,0))</f>
        <v>0</v>
      </c>
      <c r="F69" s="1" t="n">
        <f aca="false">IF(coding!$I69="",0,IF(ISNUMBER(SEARCH("T2",coding!$I69)),1,0))</f>
        <v>0</v>
      </c>
      <c r="G69" s="1" t="n">
        <f aca="false">IF(coding!$I69="",0,IF(ISNUMBER(SEARCH("T3",coding!$I69)),1,0))</f>
        <v>0</v>
      </c>
      <c r="H69" s="1" t="n">
        <f aca="false">IF(coding!$I69="",0,IF(ISNUMBER(SEARCH("T4",coding!$I69)),1,0))</f>
        <v>0</v>
      </c>
      <c r="I69" s="1" t="n">
        <f aca="false">IF(coding!$I69="",0,IF(ISNUMBER(SEARCH("T5",coding!$I69)),1,0))</f>
        <v>0</v>
      </c>
      <c r="J69" s="1" t="n">
        <f aca="false">IF(coding!$I69="",0,IF(ISNUMBER(SEARCH("T6",coding!$I69)),1,0))</f>
        <v>0</v>
      </c>
      <c r="K69" s="1" t="n">
        <f aca="false">IF(coding!$I69="",0,IF(ISNUMBER(SEARCH("T7",coding!$I69)),1,0))</f>
        <v>0</v>
      </c>
      <c r="L69" s="1" t="n">
        <f aca="false">IF(coding!$I69="",0,IF(ISNUMBER(SEARCH("T8",coding!$I69)),1,0))</f>
        <v>0</v>
      </c>
      <c r="M69" s="1" t="n">
        <f aca="false">IF(coding!$I69="",0,IF(ISNUMBER(SEARCH("T9",coding!$I69)),1,0))</f>
        <v>0</v>
      </c>
      <c r="N69" s="1" t="n">
        <f aca="false">IF(coding!$J69="",0,IF(ISNUMBER(SEARCH("T1",coding!$J69)),1,0))</f>
        <v>0</v>
      </c>
      <c r="O69" s="1" t="n">
        <f aca="false">IF(coding!$J69="",0,IF(ISNUMBER(SEARCH("T2",coding!$J69)),1,0))</f>
        <v>0</v>
      </c>
      <c r="P69" s="1" t="n">
        <f aca="false">IF(coding!$J69="",0,IF(ISNUMBER(SEARCH("T3",coding!$J69)),1,0))</f>
        <v>0</v>
      </c>
      <c r="Q69" s="1" t="n">
        <f aca="false">IF(coding!$J69="",0,IF(ISNUMBER(SEARCH("T4",coding!$J69)),1,0))</f>
        <v>0</v>
      </c>
      <c r="R69" s="1" t="n">
        <f aca="false">IF(coding!$J69="",0,IF(ISNUMBER(SEARCH("T5",coding!$J69)),1,0))</f>
        <v>0</v>
      </c>
      <c r="S69" s="1" t="n">
        <f aca="false">IF(coding!$J69="",0,IF(ISNUMBER(SEARCH("T6",coding!$J69)),1,0))</f>
        <v>0</v>
      </c>
      <c r="T69" s="1" t="n">
        <f aca="false">IF(coding!$J69="",0,IF(ISNUMBER(SEARCH("T7",coding!$J69)),1,0))</f>
        <v>0</v>
      </c>
      <c r="U69" s="1" t="n">
        <f aca="false">IF(coding!$J69="",0,IF(ISNUMBER(SEARCH("T8",coding!$J69)),1,0))</f>
        <v>0</v>
      </c>
      <c r="V69" s="1" t="n">
        <f aca="false">IF(coding!$J69="",0,IF(ISNUMBER(SEARCH("T9",coding!$J69)),1,0))</f>
        <v>0</v>
      </c>
      <c r="W69" s="1" t="n">
        <f aca="false">IF(coding!$O69="",0,IF(ISNUMBER(SEARCH("T1",coding!$O69)),1,0))</f>
        <v>1</v>
      </c>
      <c r="X69" s="1" t="n">
        <f aca="false">IF(coding!$O69="",0,IF(ISNUMBER(SEARCH("T2",coding!$O69)),1,0))</f>
        <v>0</v>
      </c>
      <c r="Y69" s="1" t="n">
        <f aca="false">IF(coding!$O69="",0,IF(ISNUMBER(SEARCH("T3",coding!$O69)),1,0))</f>
        <v>1</v>
      </c>
      <c r="Z69" s="1" t="n">
        <f aca="false">IF(coding!$O69="",0,IF(ISNUMBER(SEARCH("T4",coding!$O69)),1,0))</f>
        <v>1</v>
      </c>
      <c r="AA69" s="1" t="n">
        <f aca="false">IF(coding!$O69="",0,IF(ISNUMBER(SEARCH("T5",coding!$O69)),1,0))</f>
        <v>0</v>
      </c>
      <c r="AB69" s="1" t="n">
        <f aca="false">IF(coding!$O69="",0,IF(ISNUMBER(SEARCH("T6",coding!$O69)),1,0))</f>
        <v>0</v>
      </c>
      <c r="AC69" s="1" t="n">
        <f aca="false">IF(coding!$O69="",0,IF(ISNUMBER(SEARCH("T7",coding!$O69)),1,0))</f>
        <v>0</v>
      </c>
      <c r="AD69" s="1" t="n">
        <f aca="false">IF(coding!$O69="",0,IF(ISNUMBER(SEARCH("T8",coding!$O69)),1,0))</f>
        <v>0</v>
      </c>
      <c r="AE69" s="1" t="n">
        <f aca="false">IF(coding!$O69="",0,IF(ISNUMBER(SEARCH("T9",coding!$O69)),1,0))</f>
        <v>0</v>
      </c>
      <c r="AF69" s="1" t="n">
        <f aca="false">SUMPRODUCT($E69:$M69,$N69:$V69)</f>
        <v>0</v>
      </c>
      <c r="AG69" s="1" t="n">
        <f aca="false">SUMPRODUCT(--(($E69:$M69+$N69:$V69)&gt;0))</f>
        <v>0</v>
      </c>
      <c r="AH69" s="1" t="str">
        <f aca="false">IF(AND($B69=1,$C69=1),IF($AG69=0,1,$AF69/$AG69),"")</f>
        <v/>
      </c>
      <c r="AI69" s="1" t="str">
        <f aca="false">IF(AND($B69=1,$C69=1),IF(coding!$I69=coding!$J69,1,0),"")</f>
        <v/>
      </c>
      <c r="AJ69" s="1" t="str">
        <f aca="false">IF($B69=1,IF(SUMPRODUCT(--(($E69:$M69+$W69:$AE69)&gt;0))=0,1,SUMPRODUCT($E69:$M69,$W69:$AE69)/SUMPRODUCT(--(($E69:$M69+$W69:$AE69)&gt;0))),"")</f>
        <v/>
      </c>
      <c r="AK69" s="1" t="str">
        <f aca="false">IF($C69=1,IF(SUMPRODUCT(--(($N69:$V69+$W69:$AE69)&gt;0))=0,1,SUMPRODUCT($N69:$V69,$W69:$AE69)/SUMPRODUCT(--(($N69:$V69+$W69:$AE69)&gt;0))),"")</f>
        <v/>
      </c>
    </row>
    <row r="70" customFormat="false" ht="15" hidden="false" customHeight="true" outlineLevel="0" collapsed="false">
      <c r="A70" s="1" t="str">
        <f aca="false">coding!$A70</f>
        <v>P069</v>
      </c>
      <c r="B70" s="1" t="n">
        <f aca="false">IF(coding!$I70="",0,1)</f>
        <v>0</v>
      </c>
      <c r="C70" s="1" t="n">
        <f aca="false">IF(coding!$J70="",0,1)</f>
        <v>0</v>
      </c>
      <c r="D70" s="1" t="n">
        <f aca="false">IF(coding!$O70="",0,1)</f>
        <v>1</v>
      </c>
      <c r="E70" s="1" t="n">
        <f aca="false">IF(coding!$I70="",0,IF(ISNUMBER(SEARCH("T1",coding!$I70)),1,0))</f>
        <v>0</v>
      </c>
      <c r="F70" s="1" t="n">
        <f aca="false">IF(coding!$I70="",0,IF(ISNUMBER(SEARCH("T2",coding!$I70)),1,0))</f>
        <v>0</v>
      </c>
      <c r="G70" s="1" t="n">
        <f aca="false">IF(coding!$I70="",0,IF(ISNUMBER(SEARCH("T3",coding!$I70)),1,0))</f>
        <v>0</v>
      </c>
      <c r="H70" s="1" t="n">
        <f aca="false">IF(coding!$I70="",0,IF(ISNUMBER(SEARCH("T4",coding!$I70)),1,0))</f>
        <v>0</v>
      </c>
      <c r="I70" s="1" t="n">
        <f aca="false">IF(coding!$I70="",0,IF(ISNUMBER(SEARCH("T5",coding!$I70)),1,0))</f>
        <v>0</v>
      </c>
      <c r="J70" s="1" t="n">
        <f aca="false">IF(coding!$I70="",0,IF(ISNUMBER(SEARCH("T6",coding!$I70)),1,0))</f>
        <v>0</v>
      </c>
      <c r="K70" s="1" t="n">
        <f aca="false">IF(coding!$I70="",0,IF(ISNUMBER(SEARCH("T7",coding!$I70)),1,0))</f>
        <v>0</v>
      </c>
      <c r="L70" s="1" t="n">
        <f aca="false">IF(coding!$I70="",0,IF(ISNUMBER(SEARCH("T8",coding!$I70)),1,0))</f>
        <v>0</v>
      </c>
      <c r="M70" s="1" t="n">
        <f aca="false">IF(coding!$I70="",0,IF(ISNUMBER(SEARCH("T9",coding!$I70)),1,0))</f>
        <v>0</v>
      </c>
      <c r="N70" s="1" t="n">
        <f aca="false">IF(coding!$J70="",0,IF(ISNUMBER(SEARCH("T1",coding!$J70)),1,0))</f>
        <v>0</v>
      </c>
      <c r="O70" s="1" t="n">
        <f aca="false">IF(coding!$J70="",0,IF(ISNUMBER(SEARCH("T2",coding!$J70)),1,0))</f>
        <v>0</v>
      </c>
      <c r="P70" s="1" t="n">
        <f aca="false">IF(coding!$J70="",0,IF(ISNUMBER(SEARCH("T3",coding!$J70)),1,0))</f>
        <v>0</v>
      </c>
      <c r="Q70" s="1" t="n">
        <f aca="false">IF(coding!$J70="",0,IF(ISNUMBER(SEARCH("T4",coding!$J70)),1,0))</f>
        <v>0</v>
      </c>
      <c r="R70" s="1" t="n">
        <f aca="false">IF(coding!$J70="",0,IF(ISNUMBER(SEARCH("T5",coding!$J70)),1,0))</f>
        <v>0</v>
      </c>
      <c r="S70" s="1" t="n">
        <f aca="false">IF(coding!$J70="",0,IF(ISNUMBER(SEARCH("T6",coding!$J70)),1,0))</f>
        <v>0</v>
      </c>
      <c r="T70" s="1" t="n">
        <f aca="false">IF(coding!$J70="",0,IF(ISNUMBER(SEARCH("T7",coding!$J70)),1,0))</f>
        <v>0</v>
      </c>
      <c r="U70" s="1" t="n">
        <f aca="false">IF(coding!$J70="",0,IF(ISNUMBER(SEARCH("T8",coding!$J70)),1,0))</f>
        <v>0</v>
      </c>
      <c r="V70" s="1" t="n">
        <f aca="false">IF(coding!$J70="",0,IF(ISNUMBER(SEARCH("T9",coding!$J70)),1,0))</f>
        <v>0</v>
      </c>
      <c r="W70" s="1" t="n">
        <f aca="false">IF(coding!$O70="",0,IF(ISNUMBER(SEARCH("T1",coding!$O70)),1,0))</f>
        <v>0</v>
      </c>
      <c r="X70" s="1" t="n">
        <f aca="false">IF(coding!$O70="",0,IF(ISNUMBER(SEARCH("T2",coding!$O70)),1,0))</f>
        <v>1</v>
      </c>
      <c r="Y70" s="1" t="n">
        <f aca="false">IF(coding!$O70="",0,IF(ISNUMBER(SEARCH("T3",coding!$O70)),1,0))</f>
        <v>0</v>
      </c>
      <c r="Z70" s="1" t="n">
        <f aca="false">IF(coding!$O70="",0,IF(ISNUMBER(SEARCH("T4",coding!$O70)),1,0))</f>
        <v>0</v>
      </c>
      <c r="AA70" s="1" t="n">
        <f aca="false">IF(coding!$O70="",0,IF(ISNUMBER(SEARCH("T5",coding!$O70)),1,0))</f>
        <v>0</v>
      </c>
      <c r="AB70" s="1" t="n">
        <f aca="false">IF(coding!$O70="",0,IF(ISNUMBER(SEARCH("T6",coding!$O70)),1,0))</f>
        <v>0</v>
      </c>
      <c r="AC70" s="1" t="n">
        <f aca="false">IF(coding!$O70="",0,IF(ISNUMBER(SEARCH("T7",coding!$O70)),1,0))</f>
        <v>0</v>
      </c>
      <c r="AD70" s="1" t="n">
        <f aca="false">IF(coding!$O70="",0,IF(ISNUMBER(SEARCH("T8",coding!$O70)),1,0))</f>
        <v>0</v>
      </c>
      <c r="AE70" s="1" t="n">
        <f aca="false">IF(coding!$O70="",0,IF(ISNUMBER(SEARCH("T9",coding!$O70)),1,0))</f>
        <v>0</v>
      </c>
      <c r="AF70" s="1" t="n">
        <f aca="false">SUMPRODUCT($E70:$M70,$N70:$V70)</f>
        <v>0</v>
      </c>
      <c r="AG70" s="1" t="n">
        <f aca="false">SUMPRODUCT(--(($E70:$M70+$N70:$V70)&gt;0))</f>
        <v>0</v>
      </c>
      <c r="AH70" s="1" t="str">
        <f aca="false">IF(AND($B70=1,$C70=1),IF($AG70=0,1,$AF70/$AG70),"")</f>
        <v/>
      </c>
      <c r="AI70" s="1" t="str">
        <f aca="false">IF(AND($B70=1,$C70=1),IF(coding!$I70=coding!$J70,1,0),"")</f>
        <v/>
      </c>
      <c r="AJ70" s="1" t="str">
        <f aca="false">IF($B70=1,IF(SUMPRODUCT(--(($E70:$M70+$W70:$AE70)&gt;0))=0,1,SUMPRODUCT($E70:$M70,$W70:$AE70)/SUMPRODUCT(--(($E70:$M70+$W70:$AE70)&gt;0))),"")</f>
        <v/>
      </c>
      <c r="AK70" s="1" t="str">
        <f aca="false">IF($C70=1,IF(SUMPRODUCT(--(($N70:$V70+$W70:$AE70)&gt;0))=0,1,SUMPRODUCT($N70:$V70,$W70:$AE70)/SUMPRODUCT(--(($N70:$V70+$W70:$AE70)&gt;0))),"")</f>
        <v/>
      </c>
    </row>
    <row r="71" customFormat="false" ht="15" hidden="false" customHeight="true" outlineLevel="0" collapsed="false">
      <c r="A71" s="1" t="str">
        <f aca="false">coding!$A71</f>
        <v>P070</v>
      </c>
      <c r="B71" s="1" t="n">
        <f aca="false">IF(coding!$I71="",0,1)</f>
        <v>0</v>
      </c>
      <c r="C71" s="1" t="n">
        <f aca="false">IF(coding!$J71="",0,1)</f>
        <v>0</v>
      </c>
      <c r="D71" s="1" t="n">
        <f aca="false">IF(coding!$O71="",0,1)</f>
        <v>1</v>
      </c>
      <c r="E71" s="1" t="n">
        <f aca="false">IF(coding!$I71="",0,IF(ISNUMBER(SEARCH("T1",coding!$I71)),1,0))</f>
        <v>0</v>
      </c>
      <c r="F71" s="1" t="n">
        <f aca="false">IF(coding!$I71="",0,IF(ISNUMBER(SEARCH("T2",coding!$I71)),1,0))</f>
        <v>0</v>
      </c>
      <c r="G71" s="1" t="n">
        <f aca="false">IF(coding!$I71="",0,IF(ISNUMBER(SEARCH("T3",coding!$I71)),1,0))</f>
        <v>0</v>
      </c>
      <c r="H71" s="1" t="n">
        <f aca="false">IF(coding!$I71="",0,IF(ISNUMBER(SEARCH("T4",coding!$I71)),1,0))</f>
        <v>0</v>
      </c>
      <c r="I71" s="1" t="n">
        <f aca="false">IF(coding!$I71="",0,IF(ISNUMBER(SEARCH("T5",coding!$I71)),1,0))</f>
        <v>0</v>
      </c>
      <c r="J71" s="1" t="n">
        <f aca="false">IF(coding!$I71="",0,IF(ISNUMBER(SEARCH("T6",coding!$I71)),1,0))</f>
        <v>0</v>
      </c>
      <c r="K71" s="1" t="n">
        <f aca="false">IF(coding!$I71="",0,IF(ISNUMBER(SEARCH("T7",coding!$I71)),1,0))</f>
        <v>0</v>
      </c>
      <c r="L71" s="1" t="n">
        <f aca="false">IF(coding!$I71="",0,IF(ISNUMBER(SEARCH("T8",coding!$I71)),1,0))</f>
        <v>0</v>
      </c>
      <c r="M71" s="1" t="n">
        <f aca="false">IF(coding!$I71="",0,IF(ISNUMBER(SEARCH("T9",coding!$I71)),1,0))</f>
        <v>0</v>
      </c>
      <c r="N71" s="1" t="n">
        <f aca="false">IF(coding!$J71="",0,IF(ISNUMBER(SEARCH("T1",coding!$J71)),1,0))</f>
        <v>0</v>
      </c>
      <c r="O71" s="1" t="n">
        <f aca="false">IF(coding!$J71="",0,IF(ISNUMBER(SEARCH("T2",coding!$J71)),1,0))</f>
        <v>0</v>
      </c>
      <c r="P71" s="1" t="n">
        <f aca="false">IF(coding!$J71="",0,IF(ISNUMBER(SEARCH("T3",coding!$J71)),1,0))</f>
        <v>0</v>
      </c>
      <c r="Q71" s="1" t="n">
        <f aca="false">IF(coding!$J71="",0,IF(ISNUMBER(SEARCH("T4",coding!$J71)),1,0))</f>
        <v>0</v>
      </c>
      <c r="R71" s="1" t="n">
        <f aca="false">IF(coding!$J71="",0,IF(ISNUMBER(SEARCH("T5",coding!$J71)),1,0))</f>
        <v>0</v>
      </c>
      <c r="S71" s="1" t="n">
        <f aca="false">IF(coding!$J71="",0,IF(ISNUMBER(SEARCH("T6",coding!$J71)),1,0))</f>
        <v>0</v>
      </c>
      <c r="T71" s="1" t="n">
        <f aca="false">IF(coding!$J71="",0,IF(ISNUMBER(SEARCH("T7",coding!$J71)),1,0))</f>
        <v>0</v>
      </c>
      <c r="U71" s="1" t="n">
        <f aca="false">IF(coding!$J71="",0,IF(ISNUMBER(SEARCH("T8",coding!$J71)),1,0))</f>
        <v>0</v>
      </c>
      <c r="V71" s="1" t="n">
        <f aca="false">IF(coding!$J71="",0,IF(ISNUMBER(SEARCH("T9",coding!$J71)),1,0))</f>
        <v>0</v>
      </c>
      <c r="W71" s="1" t="n">
        <f aca="false">IF(coding!$O71="",0,IF(ISNUMBER(SEARCH("T1",coding!$O71)),1,0))</f>
        <v>0</v>
      </c>
      <c r="X71" s="1" t="n">
        <f aca="false">IF(coding!$O71="",0,IF(ISNUMBER(SEARCH("T2",coding!$O71)),1,0))</f>
        <v>0</v>
      </c>
      <c r="Y71" s="1" t="n">
        <f aca="false">IF(coding!$O71="",0,IF(ISNUMBER(SEARCH("T3",coding!$O71)),1,0))</f>
        <v>0</v>
      </c>
      <c r="Z71" s="1" t="n">
        <f aca="false">IF(coding!$O71="",0,IF(ISNUMBER(SEARCH("T4",coding!$O71)),1,0))</f>
        <v>0</v>
      </c>
      <c r="AA71" s="1" t="n">
        <f aca="false">IF(coding!$O71="",0,IF(ISNUMBER(SEARCH("T5",coding!$O71)),1,0))</f>
        <v>0</v>
      </c>
      <c r="AB71" s="1" t="n">
        <f aca="false">IF(coding!$O71="",0,IF(ISNUMBER(SEARCH("T6",coding!$O71)),1,0))</f>
        <v>0</v>
      </c>
      <c r="AC71" s="1" t="n">
        <f aca="false">IF(coding!$O71="",0,IF(ISNUMBER(SEARCH("T7",coding!$O71)),1,0))</f>
        <v>0</v>
      </c>
      <c r="AD71" s="1" t="n">
        <f aca="false">IF(coding!$O71="",0,IF(ISNUMBER(SEARCH("T8",coding!$O71)),1,0))</f>
        <v>0</v>
      </c>
      <c r="AE71" s="1" t="n">
        <f aca="false">IF(coding!$O71="",0,IF(ISNUMBER(SEARCH("T9",coding!$O71)),1,0))</f>
        <v>1</v>
      </c>
      <c r="AF71" s="1" t="n">
        <f aca="false">SUMPRODUCT($E71:$M71,$N71:$V71)</f>
        <v>0</v>
      </c>
      <c r="AG71" s="1" t="n">
        <f aca="false">SUMPRODUCT(--(($E71:$M71+$N71:$V71)&gt;0))</f>
        <v>0</v>
      </c>
      <c r="AH71" s="1" t="str">
        <f aca="false">IF(AND($B71=1,$C71=1),IF($AG71=0,1,$AF71/$AG71),"")</f>
        <v/>
      </c>
      <c r="AI71" s="1" t="str">
        <f aca="false">IF(AND($B71=1,$C71=1),IF(coding!$I71=coding!$J71,1,0),"")</f>
        <v/>
      </c>
      <c r="AJ71" s="1" t="str">
        <f aca="false">IF($B71=1,IF(SUMPRODUCT(--(($E71:$M71+$W71:$AE71)&gt;0))=0,1,SUMPRODUCT($E71:$M71,$W71:$AE71)/SUMPRODUCT(--(($E71:$M71+$W71:$AE71)&gt;0))),"")</f>
        <v/>
      </c>
      <c r="AK71" s="1" t="str">
        <f aca="false">IF($C71=1,IF(SUMPRODUCT(--(($N71:$V71+$W71:$AE71)&gt;0))=0,1,SUMPRODUCT($N71:$V71,$W71:$AE71)/SUMPRODUCT(--(($N71:$V71+$W71:$AE71)&gt;0))),"")</f>
        <v/>
      </c>
    </row>
    <row r="72" customFormat="false" ht="15" hidden="false" customHeight="true" outlineLevel="0" collapsed="false">
      <c r="A72" s="1" t="str">
        <f aca="false">coding!$A72</f>
        <v>P071</v>
      </c>
      <c r="B72" s="1" t="n">
        <f aca="false">IF(coding!$I72="",0,1)</f>
        <v>0</v>
      </c>
      <c r="C72" s="1" t="n">
        <f aca="false">IF(coding!$J72="",0,1)</f>
        <v>0</v>
      </c>
      <c r="D72" s="1" t="n">
        <f aca="false">IF(coding!$O72="",0,1)</f>
        <v>1</v>
      </c>
      <c r="E72" s="1" t="n">
        <f aca="false">IF(coding!$I72="",0,IF(ISNUMBER(SEARCH("T1",coding!$I72)),1,0))</f>
        <v>0</v>
      </c>
      <c r="F72" s="1" t="n">
        <f aca="false">IF(coding!$I72="",0,IF(ISNUMBER(SEARCH("T2",coding!$I72)),1,0))</f>
        <v>0</v>
      </c>
      <c r="G72" s="1" t="n">
        <f aca="false">IF(coding!$I72="",0,IF(ISNUMBER(SEARCH("T3",coding!$I72)),1,0))</f>
        <v>0</v>
      </c>
      <c r="H72" s="1" t="n">
        <f aca="false">IF(coding!$I72="",0,IF(ISNUMBER(SEARCH("T4",coding!$I72)),1,0))</f>
        <v>0</v>
      </c>
      <c r="I72" s="1" t="n">
        <f aca="false">IF(coding!$I72="",0,IF(ISNUMBER(SEARCH("T5",coding!$I72)),1,0))</f>
        <v>0</v>
      </c>
      <c r="J72" s="1" t="n">
        <f aca="false">IF(coding!$I72="",0,IF(ISNUMBER(SEARCH("T6",coding!$I72)),1,0))</f>
        <v>0</v>
      </c>
      <c r="K72" s="1" t="n">
        <f aca="false">IF(coding!$I72="",0,IF(ISNUMBER(SEARCH("T7",coding!$I72)),1,0))</f>
        <v>0</v>
      </c>
      <c r="L72" s="1" t="n">
        <f aca="false">IF(coding!$I72="",0,IF(ISNUMBER(SEARCH("T8",coding!$I72)),1,0))</f>
        <v>0</v>
      </c>
      <c r="M72" s="1" t="n">
        <f aca="false">IF(coding!$I72="",0,IF(ISNUMBER(SEARCH("T9",coding!$I72)),1,0))</f>
        <v>0</v>
      </c>
      <c r="N72" s="1" t="n">
        <f aca="false">IF(coding!$J72="",0,IF(ISNUMBER(SEARCH("T1",coding!$J72)),1,0))</f>
        <v>0</v>
      </c>
      <c r="O72" s="1" t="n">
        <f aca="false">IF(coding!$J72="",0,IF(ISNUMBER(SEARCH("T2",coding!$J72)),1,0))</f>
        <v>0</v>
      </c>
      <c r="P72" s="1" t="n">
        <f aca="false">IF(coding!$J72="",0,IF(ISNUMBER(SEARCH("T3",coding!$J72)),1,0))</f>
        <v>0</v>
      </c>
      <c r="Q72" s="1" t="n">
        <f aca="false">IF(coding!$J72="",0,IF(ISNUMBER(SEARCH("T4",coding!$J72)),1,0))</f>
        <v>0</v>
      </c>
      <c r="R72" s="1" t="n">
        <f aca="false">IF(coding!$J72="",0,IF(ISNUMBER(SEARCH("T5",coding!$J72)),1,0))</f>
        <v>0</v>
      </c>
      <c r="S72" s="1" t="n">
        <f aca="false">IF(coding!$J72="",0,IF(ISNUMBER(SEARCH("T6",coding!$J72)),1,0))</f>
        <v>0</v>
      </c>
      <c r="T72" s="1" t="n">
        <f aca="false">IF(coding!$J72="",0,IF(ISNUMBER(SEARCH("T7",coding!$J72)),1,0))</f>
        <v>0</v>
      </c>
      <c r="U72" s="1" t="n">
        <f aca="false">IF(coding!$J72="",0,IF(ISNUMBER(SEARCH("T8",coding!$J72)),1,0))</f>
        <v>0</v>
      </c>
      <c r="V72" s="1" t="n">
        <f aca="false">IF(coding!$J72="",0,IF(ISNUMBER(SEARCH("T9",coding!$J72)),1,0))</f>
        <v>0</v>
      </c>
      <c r="W72" s="1" t="n">
        <f aca="false">IF(coding!$O72="",0,IF(ISNUMBER(SEARCH("T1",coding!$O72)),1,0))</f>
        <v>1</v>
      </c>
      <c r="X72" s="1" t="n">
        <f aca="false">IF(coding!$O72="",0,IF(ISNUMBER(SEARCH("T2",coding!$O72)),1,0))</f>
        <v>0</v>
      </c>
      <c r="Y72" s="1" t="n">
        <f aca="false">IF(coding!$O72="",0,IF(ISNUMBER(SEARCH("T3",coding!$O72)),1,0))</f>
        <v>0</v>
      </c>
      <c r="Z72" s="1" t="n">
        <f aca="false">IF(coding!$O72="",0,IF(ISNUMBER(SEARCH("T4",coding!$O72)),1,0))</f>
        <v>0</v>
      </c>
      <c r="AA72" s="1" t="n">
        <f aca="false">IF(coding!$O72="",0,IF(ISNUMBER(SEARCH("T5",coding!$O72)),1,0))</f>
        <v>0</v>
      </c>
      <c r="AB72" s="1" t="n">
        <f aca="false">IF(coding!$O72="",0,IF(ISNUMBER(SEARCH("T6",coding!$O72)),1,0))</f>
        <v>0</v>
      </c>
      <c r="AC72" s="1" t="n">
        <f aca="false">IF(coding!$O72="",0,IF(ISNUMBER(SEARCH("T7",coding!$O72)),1,0))</f>
        <v>0</v>
      </c>
      <c r="AD72" s="1" t="n">
        <f aca="false">IF(coding!$O72="",0,IF(ISNUMBER(SEARCH("T8",coding!$O72)),1,0))</f>
        <v>0</v>
      </c>
      <c r="AE72" s="1" t="n">
        <f aca="false">IF(coding!$O72="",0,IF(ISNUMBER(SEARCH("T9",coding!$O72)),1,0))</f>
        <v>0</v>
      </c>
      <c r="AF72" s="1" t="n">
        <f aca="false">SUMPRODUCT($E72:$M72,$N72:$V72)</f>
        <v>0</v>
      </c>
      <c r="AG72" s="1" t="n">
        <f aca="false">SUMPRODUCT(--(($E72:$M72+$N72:$V72)&gt;0))</f>
        <v>0</v>
      </c>
      <c r="AH72" s="1" t="str">
        <f aca="false">IF(AND($B72=1,$C72=1),IF($AG72=0,1,$AF72/$AG72),"")</f>
        <v/>
      </c>
      <c r="AI72" s="1" t="str">
        <f aca="false">IF(AND($B72=1,$C72=1),IF(coding!$I72=coding!$J72,1,0),"")</f>
        <v/>
      </c>
      <c r="AJ72" s="1" t="str">
        <f aca="false">IF($B72=1,IF(SUMPRODUCT(--(($E72:$M72+$W72:$AE72)&gt;0))=0,1,SUMPRODUCT($E72:$M72,$W72:$AE72)/SUMPRODUCT(--(($E72:$M72+$W72:$AE72)&gt;0))),"")</f>
        <v/>
      </c>
      <c r="AK72" s="1" t="str">
        <f aca="false">IF($C72=1,IF(SUMPRODUCT(--(($N72:$V72+$W72:$AE72)&gt;0))=0,1,SUMPRODUCT($N72:$V72,$W72:$AE72)/SUMPRODUCT(--(($N72:$V72+$W72:$AE72)&gt;0))),"")</f>
        <v/>
      </c>
    </row>
    <row r="73" customFormat="false" ht="15" hidden="false" customHeight="true" outlineLevel="0" collapsed="false">
      <c r="A73" s="1" t="str">
        <f aca="false">coding!$A73</f>
        <v>P072</v>
      </c>
      <c r="B73" s="1" t="n">
        <f aca="false">IF(coding!$I73="",0,1)</f>
        <v>0</v>
      </c>
      <c r="C73" s="1" t="n">
        <f aca="false">IF(coding!$J73="",0,1)</f>
        <v>0</v>
      </c>
      <c r="D73" s="1" t="n">
        <f aca="false">IF(coding!$O73="",0,1)</f>
        <v>1</v>
      </c>
      <c r="E73" s="1" t="n">
        <f aca="false">IF(coding!$I73="",0,IF(ISNUMBER(SEARCH("T1",coding!$I73)),1,0))</f>
        <v>0</v>
      </c>
      <c r="F73" s="1" t="n">
        <f aca="false">IF(coding!$I73="",0,IF(ISNUMBER(SEARCH("T2",coding!$I73)),1,0))</f>
        <v>0</v>
      </c>
      <c r="G73" s="1" t="n">
        <f aca="false">IF(coding!$I73="",0,IF(ISNUMBER(SEARCH("T3",coding!$I73)),1,0))</f>
        <v>0</v>
      </c>
      <c r="H73" s="1" t="n">
        <f aca="false">IF(coding!$I73="",0,IF(ISNUMBER(SEARCH("T4",coding!$I73)),1,0))</f>
        <v>0</v>
      </c>
      <c r="I73" s="1" t="n">
        <f aca="false">IF(coding!$I73="",0,IF(ISNUMBER(SEARCH("T5",coding!$I73)),1,0))</f>
        <v>0</v>
      </c>
      <c r="J73" s="1" t="n">
        <f aca="false">IF(coding!$I73="",0,IF(ISNUMBER(SEARCH("T6",coding!$I73)),1,0))</f>
        <v>0</v>
      </c>
      <c r="K73" s="1" t="n">
        <f aca="false">IF(coding!$I73="",0,IF(ISNUMBER(SEARCH("T7",coding!$I73)),1,0))</f>
        <v>0</v>
      </c>
      <c r="L73" s="1" t="n">
        <f aca="false">IF(coding!$I73="",0,IF(ISNUMBER(SEARCH("T8",coding!$I73)),1,0))</f>
        <v>0</v>
      </c>
      <c r="M73" s="1" t="n">
        <f aca="false">IF(coding!$I73="",0,IF(ISNUMBER(SEARCH("T9",coding!$I73)),1,0))</f>
        <v>0</v>
      </c>
      <c r="N73" s="1" t="n">
        <f aca="false">IF(coding!$J73="",0,IF(ISNUMBER(SEARCH("T1",coding!$J73)),1,0))</f>
        <v>0</v>
      </c>
      <c r="O73" s="1" t="n">
        <f aca="false">IF(coding!$J73="",0,IF(ISNUMBER(SEARCH("T2",coding!$J73)),1,0))</f>
        <v>0</v>
      </c>
      <c r="P73" s="1" t="n">
        <f aca="false">IF(coding!$J73="",0,IF(ISNUMBER(SEARCH("T3",coding!$J73)),1,0))</f>
        <v>0</v>
      </c>
      <c r="Q73" s="1" t="n">
        <f aca="false">IF(coding!$J73="",0,IF(ISNUMBER(SEARCH("T4",coding!$J73)),1,0))</f>
        <v>0</v>
      </c>
      <c r="R73" s="1" t="n">
        <f aca="false">IF(coding!$J73="",0,IF(ISNUMBER(SEARCH("T5",coding!$J73)),1,0))</f>
        <v>0</v>
      </c>
      <c r="S73" s="1" t="n">
        <f aca="false">IF(coding!$J73="",0,IF(ISNUMBER(SEARCH("T6",coding!$J73)),1,0))</f>
        <v>0</v>
      </c>
      <c r="T73" s="1" t="n">
        <f aca="false">IF(coding!$J73="",0,IF(ISNUMBER(SEARCH("T7",coding!$J73)),1,0))</f>
        <v>0</v>
      </c>
      <c r="U73" s="1" t="n">
        <f aca="false">IF(coding!$J73="",0,IF(ISNUMBER(SEARCH("T8",coding!$J73)),1,0))</f>
        <v>0</v>
      </c>
      <c r="V73" s="1" t="n">
        <f aca="false">IF(coding!$J73="",0,IF(ISNUMBER(SEARCH("T9",coding!$J73)),1,0))</f>
        <v>0</v>
      </c>
      <c r="W73" s="1" t="n">
        <f aca="false">IF(coding!$O73="",0,IF(ISNUMBER(SEARCH("T1",coding!$O73)),1,0))</f>
        <v>0</v>
      </c>
      <c r="X73" s="1" t="n">
        <f aca="false">IF(coding!$O73="",0,IF(ISNUMBER(SEARCH("T2",coding!$O73)),1,0))</f>
        <v>1</v>
      </c>
      <c r="Y73" s="1" t="n">
        <f aca="false">IF(coding!$O73="",0,IF(ISNUMBER(SEARCH("T3",coding!$O73)),1,0))</f>
        <v>0</v>
      </c>
      <c r="Z73" s="1" t="n">
        <f aca="false">IF(coding!$O73="",0,IF(ISNUMBER(SEARCH("T4",coding!$O73)),1,0))</f>
        <v>0</v>
      </c>
      <c r="AA73" s="1" t="n">
        <f aca="false">IF(coding!$O73="",0,IF(ISNUMBER(SEARCH("T5",coding!$O73)),1,0))</f>
        <v>0</v>
      </c>
      <c r="AB73" s="1" t="n">
        <f aca="false">IF(coding!$O73="",0,IF(ISNUMBER(SEARCH("T6",coding!$O73)),1,0))</f>
        <v>0</v>
      </c>
      <c r="AC73" s="1" t="n">
        <f aca="false">IF(coding!$O73="",0,IF(ISNUMBER(SEARCH("T7",coding!$O73)),1,0))</f>
        <v>0</v>
      </c>
      <c r="AD73" s="1" t="n">
        <f aca="false">IF(coding!$O73="",0,IF(ISNUMBER(SEARCH("T8",coding!$O73)),1,0))</f>
        <v>0</v>
      </c>
      <c r="AE73" s="1" t="n">
        <f aca="false">IF(coding!$O73="",0,IF(ISNUMBER(SEARCH("T9",coding!$O73)),1,0))</f>
        <v>0</v>
      </c>
      <c r="AF73" s="1" t="n">
        <f aca="false">SUMPRODUCT($E73:$M73,$N73:$V73)</f>
        <v>0</v>
      </c>
      <c r="AG73" s="1" t="n">
        <f aca="false">SUMPRODUCT(--(($E73:$M73+$N73:$V73)&gt;0))</f>
        <v>0</v>
      </c>
      <c r="AH73" s="1" t="str">
        <f aca="false">IF(AND($B73=1,$C73=1),IF($AG73=0,1,$AF73/$AG73),"")</f>
        <v/>
      </c>
      <c r="AI73" s="1" t="str">
        <f aca="false">IF(AND($B73=1,$C73=1),IF(coding!$I73=coding!$J73,1,0),"")</f>
        <v/>
      </c>
      <c r="AJ73" s="1" t="str">
        <f aca="false">IF($B73=1,IF(SUMPRODUCT(--(($E73:$M73+$W73:$AE73)&gt;0))=0,1,SUMPRODUCT($E73:$M73,$W73:$AE73)/SUMPRODUCT(--(($E73:$M73+$W73:$AE73)&gt;0))),"")</f>
        <v/>
      </c>
      <c r="AK73" s="1" t="str">
        <f aca="false">IF($C73=1,IF(SUMPRODUCT(--(($N73:$V73+$W73:$AE73)&gt;0))=0,1,SUMPRODUCT($N73:$V73,$W73:$AE73)/SUMPRODUCT(--(($N73:$V73+$W73:$AE73)&gt;0))),"")</f>
        <v/>
      </c>
    </row>
    <row r="74" customFormat="false" ht="15" hidden="false" customHeight="true" outlineLevel="0" collapsed="false">
      <c r="A74" s="1" t="str">
        <f aca="false">coding!$A74</f>
        <v>P073</v>
      </c>
      <c r="B74" s="1" t="n">
        <f aca="false">IF(coding!$I74="",0,1)</f>
        <v>0</v>
      </c>
      <c r="C74" s="1" t="n">
        <f aca="false">IF(coding!$J74="",0,1)</f>
        <v>0</v>
      </c>
      <c r="D74" s="1" t="n">
        <f aca="false">IF(coding!$O74="",0,1)</f>
        <v>1</v>
      </c>
      <c r="E74" s="1" t="n">
        <f aca="false">IF(coding!$I74="",0,IF(ISNUMBER(SEARCH("T1",coding!$I74)),1,0))</f>
        <v>0</v>
      </c>
      <c r="F74" s="1" t="n">
        <f aca="false">IF(coding!$I74="",0,IF(ISNUMBER(SEARCH("T2",coding!$I74)),1,0))</f>
        <v>0</v>
      </c>
      <c r="G74" s="1" t="n">
        <f aca="false">IF(coding!$I74="",0,IF(ISNUMBER(SEARCH("T3",coding!$I74)),1,0))</f>
        <v>0</v>
      </c>
      <c r="H74" s="1" t="n">
        <f aca="false">IF(coding!$I74="",0,IF(ISNUMBER(SEARCH("T4",coding!$I74)),1,0))</f>
        <v>0</v>
      </c>
      <c r="I74" s="1" t="n">
        <f aca="false">IF(coding!$I74="",0,IF(ISNUMBER(SEARCH("T5",coding!$I74)),1,0))</f>
        <v>0</v>
      </c>
      <c r="J74" s="1" t="n">
        <f aca="false">IF(coding!$I74="",0,IF(ISNUMBER(SEARCH("T6",coding!$I74)),1,0))</f>
        <v>0</v>
      </c>
      <c r="K74" s="1" t="n">
        <f aca="false">IF(coding!$I74="",0,IF(ISNUMBER(SEARCH("T7",coding!$I74)),1,0))</f>
        <v>0</v>
      </c>
      <c r="L74" s="1" t="n">
        <f aca="false">IF(coding!$I74="",0,IF(ISNUMBER(SEARCH("T8",coding!$I74)),1,0))</f>
        <v>0</v>
      </c>
      <c r="M74" s="1" t="n">
        <f aca="false">IF(coding!$I74="",0,IF(ISNUMBER(SEARCH("T9",coding!$I74)),1,0))</f>
        <v>0</v>
      </c>
      <c r="N74" s="1" t="n">
        <f aca="false">IF(coding!$J74="",0,IF(ISNUMBER(SEARCH("T1",coding!$J74)),1,0))</f>
        <v>0</v>
      </c>
      <c r="O74" s="1" t="n">
        <f aca="false">IF(coding!$J74="",0,IF(ISNUMBER(SEARCH("T2",coding!$J74)),1,0))</f>
        <v>0</v>
      </c>
      <c r="P74" s="1" t="n">
        <f aca="false">IF(coding!$J74="",0,IF(ISNUMBER(SEARCH("T3",coding!$J74)),1,0))</f>
        <v>0</v>
      </c>
      <c r="Q74" s="1" t="n">
        <f aca="false">IF(coding!$J74="",0,IF(ISNUMBER(SEARCH("T4",coding!$J74)),1,0))</f>
        <v>0</v>
      </c>
      <c r="R74" s="1" t="n">
        <f aca="false">IF(coding!$J74="",0,IF(ISNUMBER(SEARCH("T5",coding!$J74)),1,0))</f>
        <v>0</v>
      </c>
      <c r="S74" s="1" t="n">
        <f aca="false">IF(coding!$J74="",0,IF(ISNUMBER(SEARCH("T6",coding!$J74)),1,0))</f>
        <v>0</v>
      </c>
      <c r="T74" s="1" t="n">
        <f aca="false">IF(coding!$J74="",0,IF(ISNUMBER(SEARCH("T7",coding!$J74)),1,0))</f>
        <v>0</v>
      </c>
      <c r="U74" s="1" t="n">
        <f aca="false">IF(coding!$J74="",0,IF(ISNUMBER(SEARCH("T8",coding!$J74)),1,0))</f>
        <v>0</v>
      </c>
      <c r="V74" s="1" t="n">
        <f aca="false">IF(coding!$J74="",0,IF(ISNUMBER(SEARCH("T9",coding!$J74)),1,0))</f>
        <v>0</v>
      </c>
      <c r="W74" s="1" t="n">
        <f aca="false">IF(coding!$O74="",0,IF(ISNUMBER(SEARCH("T1",coding!$O74)),1,0))</f>
        <v>1</v>
      </c>
      <c r="X74" s="1" t="n">
        <f aca="false">IF(coding!$O74="",0,IF(ISNUMBER(SEARCH("T2",coding!$O74)),1,0))</f>
        <v>1</v>
      </c>
      <c r="Y74" s="1" t="n">
        <f aca="false">IF(coding!$O74="",0,IF(ISNUMBER(SEARCH("T3",coding!$O74)),1,0))</f>
        <v>1</v>
      </c>
      <c r="Z74" s="1" t="n">
        <f aca="false">IF(coding!$O74="",0,IF(ISNUMBER(SEARCH("T4",coding!$O74)),1,0))</f>
        <v>0</v>
      </c>
      <c r="AA74" s="1" t="n">
        <f aca="false">IF(coding!$O74="",0,IF(ISNUMBER(SEARCH("T5",coding!$O74)),1,0))</f>
        <v>0</v>
      </c>
      <c r="AB74" s="1" t="n">
        <f aca="false">IF(coding!$O74="",0,IF(ISNUMBER(SEARCH("T6",coding!$O74)),1,0))</f>
        <v>0</v>
      </c>
      <c r="AC74" s="1" t="n">
        <f aca="false">IF(coding!$O74="",0,IF(ISNUMBER(SEARCH("T7",coding!$O74)),1,0))</f>
        <v>0</v>
      </c>
      <c r="AD74" s="1" t="n">
        <f aca="false">IF(coding!$O74="",0,IF(ISNUMBER(SEARCH("T8",coding!$O74)),1,0))</f>
        <v>0</v>
      </c>
      <c r="AE74" s="1" t="n">
        <f aca="false">IF(coding!$O74="",0,IF(ISNUMBER(SEARCH("T9",coding!$O74)),1,0))</f>
        <v>0</v>
      </c>
      <c r="AF74" s="1" t="n">
        <f aca="false">SUMPRODUCT($E74:$M74,$N74:$V74)</f>
        <v>0</v>
      </c>
      <c r="AG74" s="1" t="n">
        <f aca="false">SUMPRODUCT(--(($E74:$M74+$N74:$V74)&gt;0))</f>
        <v>0</v>
      </c>
      <c r="AH74" s="1" t="str">
        <f aca="false">IF(AND($B74=1,$C74=1),IF($AG74=0,1,$AF74/$AG74),"")</f>
        <v/>
      </c>
      <c r="AI74" s="1" t="str">
        <f aca="false">IF(AND($B74=1,$C74=1),IF(coding!$I74=coding!$J74,1,0),"")</f>
        <v/>
      </c>
      <c r="AJ74" s="1" t="str">
        <f aca="false">IF($B74=1,IF(SUMPRODUCT(--(($E74:$M74+$W74:$AE74)&gt;0))=0,1,SUMPRODUCT($E74:$M74,$W74:$AE74)/SUMPRODUCT(--(($E74:$M74+$W74:$AE74)&gt;0))),"")</f>
        <v/>
      </c>
      <c r="AK74" s="1" t="str">
        <f aca="false">IF($C74=1,IF(SUMPRODUCT(--(($N74:$V74+$W74:$AE74)&gt;0))=0,1,SUMPRODUCT($N74:$V74,$W74:$AE74)/SUMPRODUCT(--(($N74:$V74+$W74:$AE74)&gt;0))),"")</f>
        <v/>
      </c>
    </row>
    <row r="75" customFormat="false" ht="15" hidden="false" customHeight="true" outlineLevel="0" collapsed="false">
      <c r="A75" s="1" t="str">
        <f aca="false">coding!$A75</f>
        <v>P074</v>
      </c>
      <c r="B75" s="1" t="n">
        <f aca="false">IF(coding!$I75="",0,1)</f>
        <v>0</v>
      </c>
      <c r="C75" s="1" t="n">
        <f aca="false">IF(coding!$J75="",0,1)</f>
        <v>0</v>
      </c>
      <c r="D75" s="1" t="n">
        <f aca="false">IF(coding!$O75="",0,1)</f>
        <v>1</v>
      </c>
      <c r="E75" s="1" t="n">
        <f aca="false">IF(coding!$I75="",0,IF(ISNUMBER(SEARCH("T1",coding!$I75)),1,0))</f>
        <v>0</v>
      </c>
      <c r="F75" s="1" t="n">
        <f aca="false">IF(coding!$I75="",0,IF(ISNUMBER(SEARCH("T2",coding!$I75)),1,0))</f>
        <v>0</v>
      </c>
      <c r="G75" s="1" t="n">
        <f aca="false">IF(coding!$I75="",0,IF(ISNUMBER(SEARCH("T3",coding!$I75)),1,0))</f>
        <v>0</v>
      </c>
      <c r="H75" s="1" t="n">
        <f aca="false">IF(coding!$I75="",0,IF(ISNUMBER(SEARCH("T4",coding!$I75)),1,0))</f>
        <v>0</v>
      </c>
      <c r="I75" s="1" t="n">
        <f aca="false">IF(coding!$I75="",0,IF(ISNUMBER(SEARCH("T5",coding!$I75)),1,0))</f>
        <v>0</v>
      </c>
      <c r="J75" s="1" t="n">
        <f aca="false">IF(coding!$I75="",0,IF(ISNUMBER(SEARCH("T6",coding!$I75)),1,0))</f>
        <v>0</v>
      </c>
      <c r="K75" s="1" t="n">
        <f aca="false">IF(coding!$I75="",0,IF(ISNUMBER(SEARCH("T7",coding!$I75)),1,0))</f>
        <v>0</v>
      </c>
      <c r="L75" s="1" t="n">
        <f aca="false">IF(coding!$I75="",0,IF(ISNUMBER(SEARCH("T8",coding!$I75)),1,0))</f>
        <v>0</v>
      </c>
      <c r="M75" s="1" t="n">
        <f aca="false">IF(coding!$I75="",0,IF(ISNUMBER(SEARCH("T9",coding!$I75)),1,0))</f>
        <v>0</v>
      </c>
      <c r="N75" s="1" t="n">
        <f aca="false">IF(coding!$J75="",0,IF(ISNUMBER(SEARCH("T1",coding!$J75)),1,0))</f>
        <v>0</v>
      </c>
      <c r="O75" s="1" t="n">
        <f aca="false">IF(coding!$J75="",0,IF(ISNUMBER(SEARCH("T2",coding!$J75)),1,0))</f>
        <v>0</v>
      </c>
      <c r="P75" s="1" t="n">
        <f aca="false">IF(coding!$J75="",0,IF(ISNUMBER(SEARCH("T3",coding!$J75)),1,0))</f>
        <v>0</v>
      </c>
      <c r="Q75" s="1" t="n">
        <f aca="false">IF(coding!$J75="",0,IF(ISNUMBER(SEARCH("T4",coding!$J75)),1,0))</f>
        <v>0</v>
      </c>
      <c r="R75" s="1" t="n">
        <f aca="false">IF(coding!$J75="",0,IF(ISNUMBER(SEARCH("T5",coding!$J75)),1,0))</f>
        <v>0</v>
      </c>
      <c r="S75" s="1" t="n">
        <f aca="false">IF(coding!$J75="",0,IF(ISNUMBER(SEARCH("T6",coding!$J75)),1,0))</f>
        <v>0</v>
      </c>
      <c r="T75" s="1" t="n">
        <f aca="false">IF(coding!$J75="",0,IF(ISNUMBER(SEARCH("T7",coding!$J75)),1,0))</f>
        <v>0</v>
      </c>
      <c r="U75" s="1" t="n">
        <f aca="false">IF(coding!$J75="",0,IF(ISNUMBER(SEARCH("T8",coding!$J75)),1,0))</f>
        <v>0</v>
      </c>
      <c r="V75" s="1" t="n">
        <f aca="false">IF(coding!$J75="",0,IF(ISNUMBER(SEARCH("T9",coding!$J75)),1,0))</f>
        <v>0</v>
      </c>
      <c r="W75" s="1" t="n">
        <f aca="false">IF(coding!$O75="",0,IF(ISNUMBER(SEARCH("T1",coding!$O75)),1,0))</f>
        <v>1</v>
      </c>
      <c r="X75" s="1" t="n">
        <f aca="false">IF(coding!$O75="",0,IF(ISNUMBER(SEARCH("T2",coding!$O75)),1,0))</f>
        <v>0</v>
      </c>
      <c r="Y75" s="1" t="n">
        <f aca="false">IF(coding!$O75="",0,IF(ISNUMBER(SEARCH("T3",coding!$O75)),1,0))</f>
        <v>0</v>
      </c>
      <c r="Z75" s="1" t="n">
        <f aca="false">IF(coding!$O75="",0,IF(ISNUMBER(SEARCH("T4",coding!$O75)),1,0))</f>
        <v>0</v>
      </c>
      <c r="AA75" s="1" t="n">
        <f aca="false">IF(coding!$O75="",0,IF(ISNUMBER(SEARCH("T5",coding!$O75)),1,0))</f>
        <v>0</v>
      </c>
      <c r="AB75" s="1" t="n">
        <f aca="false">IF(coding!$O75="",0,IF(ISNUMBER(SEARCH("T6",coding!$O75)),1,0))</f>
        <v>0</v>
      </c>
      <c r="AC75" s="1" t="n">
        <f aca="false">IF(coding!$O75="",0,IF(ISNUMBER(SEARCH("T7",coding!$O75)),1,0))</f>
        <v>0</v>
      </c>
      <c r="AD75" s="1" t="n">
        <f aca="false">IF(coding!$O75="",0,IF(ISNUMBER(SEARCH("T8",coding!$O75)),1,0))</f>
        <v>0</v>
      </c>
      <c r="AE75" s="1" t="n">
        <f aca="false">IF(coding!$O75="",0,IF(ISNUMBER(SEARCH("T9",coding!$O75)),1,0))</f>
        <v>0</v>
      </c>
      <c r="AF75" s="1" t="n">
        <f aca="false">SUMPRODUCT($E75:$M75,$N75:$V75)</f>
        <v>0</v>
      </c>
      <c r="AG75" s="1" t="n">
        <f aca="false">SUMPRODUCT(--(($E75:$M75+$N75:$V75)&gt;0))</f>
        <v>0</v>
      </c>
      <c r="AH75" s="1" t="str">
        <f aca="false">IF(AND($B75=1,$C75=1),IF($AG75=0,1,$AF75/$AG75),"")</f>
        <v/>
      </c>
      <c r="AI75" s="1" t="str">
        <f aca="false">IF(AND($B75=1,$C75=1),IF(coding!$I75=coding!$J75,1,0),"")</f>
        <v/>
      </c>
      <c r="AJ75" s="1" t="str">
        <f aca="false">IF($B75=1,IF(SUMPRODUCT(--(($E75:$M75+$W75:$AE75)&gt;0))=0,1,SUMPRODUCT($E75:$M75,$W75:$AE75)/SUMPRODUCT(--(($E75:$M75+$W75:$AE75)&gt;0))),"")</f>
        <v/>
      </c>
      <c r="AK75" s="1" t="str">
        <f aca="false">IF($C75=1,IF(SUMPRODUCT(--(($N75:$V75+$W75:$AE75)&gt;0))=0,1,SUMPRODUCT($N75:$V75,$W75:$AE75)/SUMPRODUCT(--(($N75:$V75+$W75:$AE75)&gt;0))),"")</f>
        <v/>
      </c>
    </row>
    <row r="76" customFormat="false" ht="15" hidden="false" customHeight="true" outlineLevel="0" collapsed="false">
      <c r="A76" s="1" t="str">
        <f aca="false">coding!$A76</f>
        <v>P075</v>
      </c>
      <c r="B76" s="1" t="n">
        <f aca="false">IF(coding!$I76="",0,1)</f>
        <v>0</v>
      </c>
      <c r="C76" s="1" t="n">
        <f aca="false">IF(coding!$J76="",0,1)</f>
        <v>0</v>
      </c>
      <c r="D76" s="1" t="n">
        <f aca="false">IF(coding!$O76="",0,1)</f>
        <v>1</v>
      </c>
      <c r="E76" s="1" t="n">
        <f aca="false">IF(coding!$I76="",0,IF(ISNUMBER(SEARCH("T1",coding!$I76)),1,0))</f>
        <v>0</v>
      </c>
      <c r="F76" s="1" t="n">
        <f aca="false">IF(coding!$I76="",0,IF(ISNUMBER(SEARCH("T2",coding!$I76)),1,0))</f>
        <v>0</v>
      </c>
      <c r="G76" s="1" t="n">
        <f aca="false">IF(coding!$I76="",0,IF(ISNUMBER(SEARCH("T3",coding!$I76)),1,0))</f>
        <v>0</v>
      </c>
      <c r="H76" s="1" t="n">
        <f aca="false">IF(coding!$I76="",0,IF(ISNUMBER(SEARCH("T4",coding!$I76)),1,0))</f>
        <v>0</v>
      </c>
      <c r="I76" s="1" t="n">
        <f aca="false">IF(coding!$I76="",0,IF(ISNUMBER(SEARCH("T5",coding!$I76)),1,0))</f>
        <v>0</v>
      </c>
      <c r="J76" s="1" t="n">
        <f aca="false">IF(coding!$I76="",0,IF(ISNUMBER(SEARCH("T6",coding!$I76)),1,0))</f>
        <v>0</v>
      </c>
      <c r="K76" s="1" t="n">
        <f aca="false">IF(coding!$I76="",0,IF(ISNUMBER(SEARCH("T7",coding!$I76)),1,0))</f>
        <v>0</v>
      </c>
      <c r="L76" s="1" t="n">
        <f aca="false">IF(coding!$I76="",0,IF(ISNUMBER(SEARCH("T8",coding!$I76)),1,0))</f>
        <v>0</v>
      </c>
      <c r="M76" s="1" t="n">
        <f aca="false">IF(coding!$I76="",0,IF(ISNUMBER(SEARCH("T9",coding!$I76)),1,0))</f>
        <v>0</v>
      </c>
      <c r="N76" s="1" t="n">
        <f aca="false">IF(coding!$J76="",0,IF(ISNUMBER(SEARCH("T1",coding!$J76)),1,0))</f>
        <v>0</v>
      </c>
      <c r="O76" s="1" t="n">
        <f aca="false">IF(coding!$J76="",0,IF(ISNUMBER(SEARCH("T2",coding!$J76)),1,0))</f>
        <v>0</v>
      </c>
      <c r="P76" s="1" t="n">
        <f aca="false">IF(coding!$J76="",0,IF(ISNUMBER(SEARCH("T3",coding!$J76)),1,0))</f>
        <v>0</v>
      </c>
      <c r="Q76" s="1" t="n">
        <f aca="false">IF(coding!$J76="",0,IF(ISNUMBER(SEARCH("T4",coding!$J76)),1,0))</f>
        <v>0</v>
      </c>
      <c r="R76" s="1" t="n">
        <f aca="false">IF(coding!$J76="",0,IF(ISNUMBER(SEARCH("T5",coding!$J76)),1,0))</f>
        <v>0</v>
      </c>
      <c r="S76" s="1" t="n">
        <f aca="false">IF(coding!$J76="",0,IF(ISNUMBER(SEARCH("T6",coding!$J76)),1,0))</f>
        <v>0</v>
      </c>
      <c r="T76" s="1" t="n">
        <f aca="false">IF(coding!$J76="",0,IF(ISNUMBER(SEARCH("T7",coding!$J76)),1,0))</f>
        <v>0</v>
      </c>
      <c r="U76" s="1" t="n">
        <f aca="false">IF(coding!$J76="",0,IF(ISNUMBER(SEARCH("T8",coding!$J76)),1,0))</f>
        <v>0</v>
      </c>
      <c r="V76" s="1" t="n">
        <f aca="false">IF(coding!$J76="",0,IF(ISNUMBER(SEARCH("T9",coding!$J76)),1,0))</f>
        <v>0</v>
      </c>
      <c r="W76" s="1" t="n">
        <f aca="false">IF(coding!$O76="",0,IF(ISNUMBER(SEARCH("T1",coding!$O76)),1,0))</f>
        <v>1</v>
      </c>
      <c r="X76" s="1" t="n">
        <f aca="false">IF(coding!$O76="",0,IF(ISNUMBER(SEARCH("T2",coding!$O76)),1,0))</f>
        <v>1</v>
      </c>
      <c r="Y76" s="1" t="n">
        <f aca="false">IF(coding!$O76="",0,IF(ISNUMBER(SEARCH("T3",coding!$O76)),1,0))</f>
        <v>0</v>
      </c>
      <c r="Z76" s="1" t="n">
        <f aca="false">IF(coding!$O76="",0,IF(ISNUMBER(SEARCH("T4",coding!$O76)),1,0))</f>
        <v>0</v>
      </c>
      <c r="AA76" s="1" t="n">
        <f aca="false">IF(coding!$O76="",0,IF(ISNUMBER(SEARCH("T5",coding!$O76)),1,0))</f>
        <v>0</v>
      </c>
      <c r="AB76" s="1" t="n">
        <f aca="false">IF(coding!$O76="",0,IF(ISNUMBER(SEARCH("T6",coding!$O76)),1,0))</f>
        <v>0</v>
      </c>
      <c r="AC76" s="1" t="n">
        <f aca="false">IF(coding!$O76="",0,IF(ISNUMBER(SEARCH("T7",coding!$O76)),1,0))</f>
        <v>0</v>
      </c>
      <c r="AD76" s="1" t="n">
        <f aca="false">IF(coding!$O76="",0,IF(ISNUMBER(SEARCH("T8",coding!$O76)),1,0))</f>
        <v>0</v>
      </c>
      <c r="AE76" s="1" t="n">
        <f aca="false">IF(coding!$O76="",0,IF(ISNUMBER(SEARCH("T9",coding!$O76)),1,0))</f>
        <v>0</v>
      </c>
      <c r="AF76" s="1" t="n">
        <f aca="false">SUMPRODUCT($E76:$M76,$N76:$V76)</f>
        <v>0</v>
      </c>
      <c r="AG76" s="1" t="n">
        <f aca="false">SUMPRODUCT(--(($E76:$M76+$N76:$V76)&gt;0))</f>
        <v>0</v>
      </c>
      <c r="AH76" s="1" t="str">
        <f aca="false">IF(AND($B76=1,$C76=1),IF($AG76=0,1,$AF76/$AG76),"")</f>
        <v/>
      </c>
      <c r="AI76" s="1" t="str">
        <f aca="false">IF(AND($B76=1,$C76=1),IF(coding!$I76=coding!$J76,1,0),"")</f>
        <v/>
      </c>
      <c r="AJ76" s="1" t="str">
        <f aca="false">IF($B76=1,IF(SUMPRODUCT(--(($E76:$M76+$W76:$AE76)&gt;0))=0,1,SUMPRODUCT($E76:$M76,$W76:$AE76)/SUMPRODUCT(--(($E76:$M76+$W76:$AE76)&gt;0))),"")</f>
        <v/>
      </c>
      <c r="AK76" s="1" t="str">
        <f aca="false">IF($C76=1,IF(SUMPRODUCT(--(($N76:$V76+$W76:$AE76)&gt;0))=0,1,SUMPRODUCT($N76:$V76,$W76:$AE76)/SUMPRODUCT(--(($N76:$V76+$W76:$AE76)&gt;0))),"")</f>
        <v/>
      </c>
    </row>
    <row r="77" customFormat="false" ht="15" hidden="false" customHeight="true" outlineLevel="0" collapsed="false">
      <c r="A77" s="1" t="str">
        <f aca="false">coding!$A77</f>
        <v>P076</v>
      </c>
      <c r="B77" s="1" t="n">
        <f aca="false">IF(coding!$I77="",0,1)</f>
        <v>0</v>
      </c>
      <c r="C77" s="1" t="n">
        <f aca="false">IF(coding!$J77="",0,1)</f>
        <v>0</v>
      </c>
      <c r="D77" s="1" t="n">
        <f aca="false">IF(coding!$O77="",0,1)</f>
        <v>1</v>
      </c>
      <c r="E77" s="1" t="n">
        <f aca="false">IF(coding!$I77="",0,IF(ISNUMBER(SEARCH("T1",coding!$I77)),1,0))</f>
        <v>0</v>
      </c>
      <c r="F77" s="1" t="n">
        <f aca="false">IF(coding!$I77="",0,IF(ISNUMBER(SEARCH("T2",coding!$I77)),1,0))</f>
        <v>0</v>
      </c>
      <c r="G77" s="1" t="n">
        <f aca="false">IF(coding!$I77="",0,IF(ISNUMBER(SEARCH("T3",coding!$I77)),1,0))</f>
        <v>0</v>
      </c>
      <c r="H77" s="1" t="n">
        <f aca="false">IF(coding!$I77="",0,IF(ISNUMBER(SEARCH("T4",coding!$I77)),1,0))</f>
        <v>0</v>
      </c>
      <c r="I77" s="1" t="n">
        <f aca="false">IF(coding!$I77="",0,IF(ISNUMBER(SEARCH("T5",coding!$I77)),1,0))</f>
        <v>0</v>
      </c>
      <c r="J77" s="1" t="n">
        <f aca="false">IF(coding!$I77="",0,IF(ISNUMBER(SEARCH("T6",coding!$I77)),1,0))</f>
        <v>0</v>
      </c>
      <c r="K77" s="1" t="n">
        <f aca="false">IF(coding!$I77="",0,IF(ISNUMBER(SEARCH("T7",coding!$I77)),1,0))</f>
        <v>0</v>
      </c>
      <c r="L77" s="1" t="n">
        <f aca="false">IF(coding!$I77="",0,IF(ISNUMBER(SEARCH("T8",coding!$I77)),1,0))</f>
        <v>0</v>
      </c>
      <c r="M77" s="1" t="n">
        <f aca="false">IF(coding!$I77="",0,IF(ISNUMBER(SEARCH("T9",coding!$I77)),1,0))</f>
        <v>0</v>
      </c>
      <c r="N77" s="1" t="n">
        <f aca="false">IF(coding!$J77="",0,IF(ISNUMBER(SEARCH("T1",coding!$J77)),1,0))</f>
        <v>0</v>
      </c>
      <c r="O77" s="1" t="n">
        <f aca="false">IF(coding!$J77="",0,IF(ISNUMBER(SEARCH("T2",coding!$J77)),1,0))</f>
        <v>0</v>
      </c>
      <c r="P77" s="1" t="n">
        <f aca="false">IF(coding!$J77="",0,IF(ISNUMBER(SEARCH("T3",coding!$J77)),1,0))</f>
        <v>0</v>
      </c>
      <c r="Q77" s="1" t="n">
        <f aca="false">IF(coding!$J77="",0,IF(ISNUMBER(SEARCH("T4",coding!$J77)),1,0))</f>
        <v>0</v>
      </c>
      <c r="R77" s="1" t="n">
        <f aca="false">IF(coding!$J77="",0,IF(ISNUMBER(SEARCH("T5",coding!$J77)),1,0))</f>
        <v>0</v>
      </c>
      <c r="S77" s="1" t="n">
        <f aca="false">IF(coding!$J77="",0,IF(ISNUMBER(SEARCH("T6",coding!$J77)),1,0))</f>
        <v>0</v>
      </c>
      <c r="T77" s="1" t="n">
        <f aca="false">IF(coding!$J77="",0,IF(ISNUMBER(SEARCH("T7",coding!$J77)),1,0))</f>
        <v>0</v>
      </c>
      <c r="U77" s="1" t="n">
        <f aca="false">IF(coding!$J77="",0,IF(ISNUMBER(SEARCH("T8",coding!$J77)),1,0))</f>
        <v>0</v>
      </c>
      <c r="V77" s="1" t="n">
        <f aca="false">IF(coding!$J77="",0,IF(ISNUMBER(SEARCH("T9",coding!$J77)),1,0))</f>
        <v>0</v>
      </c>
      <c r="W77" s="1" t="n">
        <f aca="false">IF(coding!$O77="",0,IF(ISNUMBER(SEARCH("T1",coding!$O77)),1,0))</f>
        <v>1</v>
      </c>
      <c r="X77" s="1" t="n">
        <f aca="false">IF(coding!$O77="",0,IF(ISNUMBER(SEARCH("T2",coding!$O77)),1,0))</f>
        <v>0</v>
      </c>
      <c r="Y77" s="1" t="n">
        <f aca="false">IF(coding!$O77="",0,IF(ISNUMBER(SEARCH("T3",coding!$O77)),1,0))</f>
        <v>0</v>
      </c>
      <c r="Z77" s="1" t="n">
        <f aca="false">IF(coding!$O77="",0,IF(ISNUMBER(SEARCH("T4",coding!$O77)),1,0))</f>
        <v>0</v>
      </c>
      <c r="AA77" s="1" t="n">
        <f aca="false">IF(coding!$O77="",0,IF(ISNUMBER(SEARCH("T5",coding!$O77)),1,0))</f>
        <v>0</v>
      </c>
      <c r="AB77" s="1" t="n">
        <f aca="false">IF(coding!$O77="",0,IF(ISNUMBER(SEARCH("T6",coding!$O77)),1,0))</f>
        <v>0</v>
      </c>
      <c r="AC77" s="1" t="n">
        <f aca="false">IF(coding!$O77="",0,IF(ISNUMBER(SEARCH("T7",coding!$O77)),1,0))</f>
        <v>0</v>
      </c>
      <c r="AD77" s="1" t="n">
        <f aca="false">IF(coding!$O77="",0,IF(ISNUMBER(SEARCH("T8",coding!$O77)),1,0))</f>
        <v>0</v>
      </c>
      <c r="AE77" s="1" t="n">
        <f aca="false">IF(coding!$O77="",0,IF(ISNUMBER(SEARCH("T9",coding!$O77)),1,0))</f>
        <v>0</v>
      </c>
      <c r="AF77" s="1" t="n">
        <f aca="false">SUMPRODUCT($E77:$M77,$N77:$V77)</f>
        <v>0</v>
      </c>
      <c r="AG77" s="1" t="n">
        <f aca="false">SUMPRODUCT(--(($E77:$M77+$N77:$V77)&gt;0))</f>
        <v>0</v>
      </c>
      <c r="AH77" s="1" t="str">
        <f aca="false">IF(AND($B77=1,$C77=1),IF($AG77=0,1,$AF77/$AG77),"")</f>
        <v/>
      </c>
      <c r="AI77" s="1" t="str">
        <f aca="false">IF(AND($B77=1,$C77=1),IF(coding!$I77=coding!$J77,1,0),"")</f>
        <v/>
      </c>
      <c r="AJ77" s="1" t="str">
        <f aca="false">IF($B77=1,IF(SUMPRODUCT(--(($E77:$M77+$W77:$AE77)&gt;0))=0,1,SUMPRODUCT($E77:$M77,$W77:$AE77)/SUMPRODUCT(--(($E77:$M77+$W77:$AE77)&gt;0))),"")</f>
        <v/>
      </c>
      <c r="AK77" s="1" t="str">
        <f aca="false">IF($C77=1,IF(SUMPRODUCT(--(($N77:$V77+$W77:$AE77)&gt;0))=0,1,SUMPRODUCT($N77:$V77,$W77:$AE77)/SUMPRODUCT(--(($N77:$V77+$W77:$AE77)&gt;0))),"")</f>
        <v/>
      </c>
    </row>
    <row r="78" customFormat="false" ht="15" hidden="false" customHeight="true" outlineLevel="0" collapsed="false">
      <c r="A78" s="1" t="str">
        <f aca="false">coding!$A78</f>
        <v>P077</v>
      </c>
      <c r="B78" s="1" t="n">
        <f aca="false">IF(coding!$I78="",0,1)</f>
        <v>0</v>
      </c>
      <c r="C78" s="1" t="n">
        <f aca="false">IF(coding!$J78="",0,1)</f>
        <v>0</v>
      </c>
      <c r="D78" s="1" t="n">
        <f aca="false">IF(coding!$O78="",0,1)</f>
        <v>1</v>
      </c>
      <c r="E78" s="1" t="n">
        <f aca="false">IF(coding!$I78="",0,IF(ISNUMBER(SEARCH("T1",coding!$I78)),1,0))</f>
        <v>0</v>
      </c>
      <c r="F78" s="1" t="n">
        <f aca="false">IF(coding!$I78="",0,IF(ISNUMBER(SEARCH("T2",coding!$I78)),1,0))</f>
        <v>0</v>
      </c>
      <c r="G78" s="1" t="n">
        <f aca="false">IF(coding!$I78="",0,IF(ISNUMBER(SEARCH("T3",coding!$I78)),1,0))</f>
        <v>0</v>
      </c>
      <c r="H78" s="1" t="n">
        <f aca="false">IF(coding!$I78="",0,IF(ISNUMBER(SEARCH("T4",coding!$I78)),1,0))</f>
        <v>0</v>
      </c>
      <c r="I78" s="1" t="n">
        <f aca="false">IF(coding!$I78="",0,IF(ISNUMBER(SEARCH("T5",coding!$I78)),1,0))</f>
        <v>0</v>
      </c>
      <c r="J78" s="1" t="n">
        <f aca="false">IF(coding!$I78="",0,IF(ISNUMBER(SEARCH("T6",coding!$I78)),1,0))</f>
        <v>0</v>
      </c>
      <c r="K78" s="1" t="n">
        <f aca="false">IF(coding!$I78="",0,IF(ISNUMBER(SEARCH("T7",coding!$I78)),1,0))</f>
        <v>0</v>
      </c>
      <c r="L78" s="1" t="n">
        <f aca="false">IF(coding!$I78="",0,IF(ISNUMBER(SEARCH("T8",coding!$I78)),1,0))</f>
        <v>0</v>
      </c>
      <c r="M78" s="1" t="n">
        <f aca="false">IF(coding!$I78="",0,IF(ISNUMBER(SEARCH("T9",coding!$I78)),1,0))</f>
        <v>0</v>
      </c>
      <c r="N78" s="1" t="n">
        <f aca="false">IF(coding!$J78="",0,IF(ISNUMBER(SEARCH("T1",coding!$J78)),1,0))</f>
        <v>0</v>
      </c>
      <c r="O78" s="1" t="n">
        <f aca="false">IF(coding!$J78="",0,IF(ISNUMBER(SEARCH("T2",coding!$J78)),1,0))</f>
        <v>0</v>
      </c>
      <c r="P78" s="1" t="n">
        <f aca="false">IF(coding!$J78="",0,IF(ISNUMBER(SEARCH("T3",coding!$J78)),1,0))</f>
        <v>0</v>
      </c>
      <c r="Q78" s="1" t="n">
        <f aca="false">IF(coding!$J78="",0,IF(ISNUMBER(SEARCH("T4",coding!$J78)),1,0))</f>
        <v>0</v>
      </c>
      <c r="R78" s="1" t="n">
        <f aca="false">IF(coding!$J78="",0,IF(ISNUMBER(SEARCH("T5",coding!$J78)),1,0))</f>
        <v>0</v>
      </c>
      <c r="S78" s="1" t="n">
        <f aca="false">IF(coding!$J78="",0,IF(ISNUMBER(SEARCH("T6",coding!$J78)),1,0))</f>
        <v>0</v>
      </c>
      <c r="T78" s="1" t="n">
        <f aca="false">IF(coding!$J78="",0,IF(ISNUMBER(SEARCH("T7",coding!$J78)),1,0))</f>
        <v>0</v>
      </c>
      <c r="U78" s="1" t="n">
        <f aca="false">IF(coding!$J78="",0,IF(ISNUMBER(SEARCH("T8",coding!$J78)),1,0))</f>
        <v>0</v>
      </c>
      <c r="V78" s="1" t="n">
        <f aca="false">IF(coding!$J78="",0,IF(ISNUMBER(SEARCH("T9",coding!$J78)),1,0))</f>
        <v>0</v>
      </c>
      <c r="W78" s="1" t="n">
        <f aca="false">IF(coding!$O78="",0,IF(ISNUMBER(SEARCH("T1",coding!$O78)),1,0))</f>
        <v>1</v>
      </c>
      <c r="X78" s="1" t="n">
        <f aca="false">IF(coding!$O78="",0,IF(ISNUMBER(SEARCH("T2",coding!$O78)),1,0))</f>
        <v>0</v>
      </c>
      <c r="Y78" s="1" t="n">
        <f aca="false">IF(coding!$O78="",0,IF(ISNUMBER(SEARCH("T3",coding!$O78)),1,0))</f>
        <v>0</v>
      </c>
      <c r="Z78" s="1" t="n">
        <f aca="false">IF(coding!$O78="",0,IF(ISNUMBER(SEARCH("T4",coding!$O78)),1,0))</f>
        <v>0</v>
      </c>
      <c r="AA78" s="1" t="n">
        <f aca="false">IF(coding!$O78="",0,IF(ISNUMBER(SEARCH("T5",coding!$O78)),1,0))</f>
        <v>0</v>
      </c>
      <c r="AB78" s="1" t="n">
        <f aca="false">IF(coding!$O78="",0,IF(ISNUMBER(SEARCH("T6",coding!$O78)),1,0))</f>
        <v>0</v>
      </c>
      <c r="AC78" s="1" t="n">
        <f aca="false">IF(coding!$O78="",0,IF(ISNUMBER(SEARCH("T7",coding!$O78)),1,0))</f>
        <v>0</v>
      </c>
      <c r="AD78" s="1" t="n">
        <f aca="false">IF(coding!$O78="",0,IF(ISNUMBER(SEARCH("T8",coding!$O78)),1,0))</f>
        <v>0</v>
      </c>
      <c r="AE78" s="1" t="n">
        <f aca="false">IF(coding!$O78="",0,IF(ISNUMBER(SEARCH("T9",coding!$O78)),1,0))</f>
        <v>0</v>
      </c>
      <c r="AF78" s="1" t="n">
        <f aca="false">SUMPRODUCT($E78:$M78,$N78:$V78)</f>
        <v>0</v>
      </c>
      <c r="AG78" s="1" t="n">
        <f aca="false">SUMPRODUCT(--(($E78:$M78+$N78:$V78)&gt;0))</f>
        <v>0</v>
      </c>
      <c r="AH78" s="1" t="str">
        <f aca="false">IF(AND($B78=1,$C78=1),IF($AG78=0,1,$AF78/$AG78),"")</f>
        <v/>
      </c>
      <c r="AI78" s="1" t="str">
        <f aca="false">IF(AND($B78=1,$C78=1),IF(coding!$I78=coding!$J78,1,0),"")</f>
        <v/>
      </c>
      <c r="AJ78" s="1" t="str">
        <f aca="false">IF($B78=1,IF(SUMPRODUCT(--(($E78:$M78+$W78:$AE78)&gt;0))=0,1,SUMPRODUCT($E78:$M78,$W78:$AE78)/SUMPRODUCT(--(($E78:$M78+$W78:$AE78)&gt;0))),"")</f>
        <v/>
      </c>
      <c r="AK78" s="1" t="str">
        <f aca="false">IF($C78=1,IF(SUMPRODUCT(--(($N78:$V78+$W78:$AE78)&gt;0))=0,1,SUMPRODUCT($N78:$V78,$W78:$AE78)/SUMPRODUCT(--(($N78:$V78+$W78:$AE78)&gt;0))),"")</f>
        <v/>
      </c>
    </row>
    <row r="79" customFormat="false" ht="15" hidden="false" customHeight="true" outlineLevel="0" collapsed="false">
      <c r="A79" s="1" t="str">
        <f aca="false">coding!$A79</f>
        <v>P078</v>
      </c>
      <c r="B79" s="1" t="n">
        <f aca="false">IF(coding!$I79="",0,1)</f>
        <v>0</v>
      </c>
      <c r="C79" s="1" t="n">
        <f aca="false">IF(coding!$J79="",0,1)</f>
        <v>0</v>
      </c>
      <c r="D79" s="1" t="n">
        <f aca="false">IF(coding!$O79="",0,1)</f>
        <v>1</v>
      </c>
      <c r="E79" s="1" t="n">
        <f aca="false">IF(coding!$I79="",0,IF(ISNUMBER(SEARCH("T1",coding!$I79)),1,0))</f>
        <v>0</v>
      </c>
      <c r="F79" s="1" t="n">
        <f aca="false">IF(coding!$I79="",0,IF(ISNUMBER(SEARCH("T2",coding!$I79)),1,0))</f>
        <v>0</v>
      </c>
      <c r="G79" s="1" t="n">
        <f aca="false">IF(coding!$I79="",0,IF(ISNUMBER(SEARCH("T3",coding!$I79)),1,0))</f>
        <v>0</v>
      </c>
      <c r="H79" s="1" t="n">
        <f aca="false">IF(coding!$I79="",0,IF(ISNUMBER(SEARCH("T4",coding!$I79)),1,0))</f>
        <v>0</v>
      </c>
      <c r="I79" s="1" t="n">
        <f aca="false">IF(coding!$I79="",0,IF(ISNUMBER(SEARCH("T5",coding!$I79)),1,0))</f>
        <v>0</v>
      </c>
      <c r="J79" s="1" t="n">
        <f aca="false">IF(coding!$I79="",0,IF(ISNUMBER(SEARCH("T6",coding!$I79)),1,0))</f>
        <v>0</v>
      </c>
      <c r="K79" s="1" t="n">
        <f aca="false">IF(coding!$I79="",0,IF(ISNUMBER(SEARCH("T7",coding!$I79)),1,0))</f>
        <v>0</v>
      </c>
      <c r="L79" s="1" t="n">
        <f aca="false">IF(coding!$I79="",0,IF(ISNUMBER(SEARCH("T8",coding!$I79)),1,0))</f>
        <v>0</v>
      </c>
      <c r="M79" s="1" t="n">
        <f aca="false">IF(coding!$I79="",0,IF(ISNUMBER(SEARCH("T9",coding!$I79)),1,0))</f>
        <v>0</v>
      </c>
      <c r="N79" s="1" t="n">
        <f aca="false">IF(coding!$J79="",0,IF(ISNUMBER(SEARCH("T1",coding!$J79)),1,0))</f>
        <v>0</v>
      </c>
      <c r="O79" s="1" t="n">
        <f aca="false">IF(coding!$J79="",0,IF(ISNUMBER(SEARCH("T2",coding!$J79)),1,0))</f>
        <v>0</v>
      </c>
      <c r="P79" s="1" t="n">
        <f aca="false">IF(coding!$J79="",0,IF(ISNUMBER(SEARCH("T3",coding!$J79)),1,0))</f>
        <v>0</v>
      </c>
      <c r="Q79" s="1" t="n">
        <f aca="false">IF(coding!$J79="",0,IF(ISNUMBER(SEARCH("T4",coding!$J79)),1,0))</f>
        <v>0</v>
      </c>
      <c r="R79" s="1" t="n">
        <f aca="false">IF(coding!$J79="",0,IF(ISNUMBER(SEARCH("T5",coding!$J79)),1,0))</f>
        <v>0</v>
      </c>
      <c r="S79" s="1" t="n">
        <f aca="false">IF(coding!$J79="",0,IF(ISNUMBER(SEARCH("T6",coding!$J79)),1,0))</f>
        <v>0</v>
      </c>
      <c r="T79" s="1" t="n">
        <f aca="false">IF(coding!$J79="",0,IF(ISNUMBER(SEARCH("T7",coding!$J79)),1,0))</f>
        <v>0</v>
      </c>
      <c r="U79" s="1" t="n">
        <f aca="false">IF(coding!$J79="",0,IF(ISNUMBER(SEARCH("T8",coding!$J79)),1,0))</f>
        <v>0</v>
      </c>
      <c r="V79" s="1" t="n">
        <f aca="false">IF(coding!$J79="",0,IF(ISNUMBER(SEARCH("T9",coding!$J79)),1,0))</f>
        <v>0</v>
      </c>
      <c r="W79" s="1" t="n">
        <f aca="false">IF(coding!$O79="",0,IF(ISNUMBER(SEARCH("T1",coding!$O79)),1,0))</f>
        <v>1</v>
      </c>
      <c r="X79" s="1" t="n">
        <f aca="false">IF(coding!$O79="",0,IF(ISNUMBER(SEARCH("T2",coding!$O79)),1,0))</f>
        <v>1</v>
      </c>
      <c r="Y79" s="1" t="n">
        <f aca="false">IF(coding!$O79="",0,IF(ISNUMBER(SEARCH("T3",coding!$O79)),1,0))</f>
        <v>0</v>
      </c>
      <c r="Z79" s="1" t="n">
        <f aca="false">IF(coding!$O79="",0,IF(ISNUMBER(SEARCH("T4",coding!$O79)),1,0))</f>
        <v>1</v>
      </c>
      <c r="AA79" s="1" t="n">
        <f aca="false">IF(coding!$O79="",0,IF(ISNUMBER(SEARCH("T5",coding!$O79)),1,0))</f>
        <v>0</v>
      </c>
      <c r="AB79" s="1" t="n">
        <f aca="false">IF(coding!$O79="",0,IF(ISNUMBER(SEARCH("T6",coding!$O79)),1,0))</f>
        <v>0</v>
      </c>
      <c r="AC79" s="1" t="n">
        <f aca="false">IF(coding!$O79="",0,IF(ISNUMBER(SEARCH("T7",coding!$O79)),1,0))</f>
        <v>0</v>
      </c>
      <c r="AD79" s="1" t="n">
        <f aca="false">IF(coding!$O79="",0,IF(ISNUMBER(SEARCH("T8",coding!$O79)),1,0))</f>
        <v>0</v>
      </c>
      <c r="AE79" s="1" t="n">
        <f aca="false">IF(coding!$O79="",0,IF(ISNUMBER(SEARCH("T9",coding!$O79)),1,0))</f>
        <v>0</v>
      </c>
      <c r="AF79" s="1" t="n">
        <f aca="false">SUMPRODUCT($E79:$M79,$N79:$V79)</f>
        <v>0</v>
      </c>
      <c r="AG79" s="1" t="n">
        <f aca="false">SUMPRODUCT(--(($E79:$M79+$N79:$V79)&gt;0))</f>
        <v>0</v>
      </c>
      <c r="AH79" s="1" t="str">
        <f aca="false">IF(AND($B79=1,$C79=1),IF($AG79=0,1,$AF79/$AG79),"")</f>
        <v/>
      </c>
      <c r="AI79" s="1" t="str">
        <f aca="false">IF(AND($B79=1,$C79=1),IF(coding!$I79=coding!$J79,1,0),"")</f>
        <v/>
      </c>
      <c r="AJ79" s="1" t="str">
        <f aca="false">IF($B79=1,IF(SUMPRODUCT(--(($E79:$M79+$W79:$AE79)&gt;0))=0,1,SUMPRODUCT($E79:$M79,$W79:$AE79)/SUMPRODUCT(--(($E79:$M79+$W79:$AE79)&gt;0))),"")</f>
        <v/>
      </c>
      <c r="AK79" s="1" t="str">
        <f aca="false">IF($C79=1,IF(SUMPRODUCT(--(($N79:$V79+$W79:$AE79)&gt;0))=0,1,SUMPRODUCT($N79:$V79,$W79:$AE79)/SUMPRODUCT(--(($N79:$V79+$W79:$AE79)&gt;0))),"")</f>
        <v/>
      </c>
    </row>
    <row r="80" customFormat="false" ht="15" hidden="false" customHeight="true" outlineLevel="0" collapsed="false">
      <c r="A80" s="1" t="str">
        <f aca="false">coding!$A80</f>
        <v>P079</v>
      </c>
      <c r="B80" s="1" t="n">
        <f aca="false">IF(coding!$I80="",0,1)</f>
        <v>0</v>
      </c>
      <c r="C80" s="1" t="n">
        <f aca="false">IF(coding!$J80="",0,1)</f>
        <v>0</v>
      </c>
      <c r="D80" s="1" t="n">
        <f aca="false">IF(coding!$O80="",0,1)</f>
        <v>1</v>
      </c>
      <c r="E80" s="1" t="n">
        <f aca="false">IF(coding!$I80="",0,IF(ISNUMBER(SEARCH("T1",coding!$I80)),1,0))</f>
        <v>0</v>
      </c>
      <c r="F80" s="1" t="n">
        <f aca="false">IF(coding!$I80="",0,IF(ISNUMBER(SEARCH("T2",coding!$I80)),1,0))</f>
        <v>0</v>
      </c>
      <c r="G80" s="1" t="n">
        <f aca="false">IF(coding!$I80="",0,IF(ISNUMBER(SEARCH("T3",coding!$I80)),1,0))</f>
        <v>0</v>
      </c>
      <c r="H80" s="1" t="n">
        <f aca="false">IF(coding!$I80="",0,IF(ISNUMBER(SEARCH("T4",coding!$I80)),1,0))</f>
        <v>0</v>
      </c>
      <c r="I80" s="1" t="n">
        <f aca="false">IF(coding!$I80="",0,IF(ISNUMBER(SEARCH("T5",coding!$I80)),1,0))</f>
        <v>0</v>
      </c>
      <c r="J80" s="1" t="n">
        <f aca="false">IF(coding!$I80="",0,IF(ISNUMBER(SEARCH("T6",coding!$I80)),1,0))</f>
        <v>0</v>
      </c>
      <c r="K80" s="1" t="n">
        <f aca="false">IF(coding!$I80="",0,IF(ISNUMBER(SEARCH("T7",coding!$I80)),1,0))</f>
        <v>0</v>
      </c>
      <c r="L80" s="1" t="n">
        <f aca="false">IF(coding!$I80="",0,IF(ISNUMBER(SEARCH("T8",coding!$I80)),1,0))</f>
        <v>0</v>
      </c>
      <c r="M80" s="1" t="n">
        <f aca="false">IF(coding!$I80="",0,IF(ISNUMBER(SEARCH("T9",coding!$I80)),1,0))</f>
        <v>0</v>
      </c>
      <c r="N80" s="1" t="n">
        <f aca="false">IF(coding!$J80="",0,IF(ISNUMBER(SEARCH("T1",coding!$J80)),1,0))</f>
        <v>0</v>
      </c>
      <c r="O80" s="1" t="n">
        <f aca="false">IF(coding!$J80="",0,IF(ISNUMBER(SEARCH("T2",coding!$J80)),1,0))</f>
        <v>0</v>
      </c>
      <c r="P80" s="1" t="n">
        <f aca="false">IF(coding!$J80="",0,IF(ISNUMBER(SEARCH("T3",coding!$J80)),1,0))</f>
        <v>0</v>
      </c>
      <c r="Q80" s="1" t="n">
        <f aca="false">IF(coding!$J80="",0,IF(ISNUMBER(SEARCH("T4",coding!$J80)),1,0))</f>
        <v>0</v>
      </c>
      <c r="R80" s="1" t="n">
        <f aca="false">IF(coding!$J80="",0,IF(ISNUMBER(SEARCH("T5",coding!$J80)),1,0))</f>
        <v>0</v>
      </c>
      <c r="S80" s="1" t="n">
        <f aca="false">IF(coding!$J80="",0,IF(ISNUMBER(SEARCH("T6",coding!$J80)),1,0))</f>
        <v>0</v>
      </c>
      <c r="T80" s="1" t="n">
        <f aca="false">IF(coding!$J80="",0,IF(ISNUMBER(SEARCH("T7",coding!$J80)),1,0))</f>
        <v>0</v>
      </c>
      <c r="U80" s="1" t="n">
        <f aca="false">IF(coding!$J80="",0,IF(ISNUMBER(SEARCH("T8",coding!$J80)),1,0))</f>
        <v>0</v>
      </c>
      <c r="V80" s="1" t="n">
        <f aca="false">IF(coding!$J80="",0,IF(ISNUMBER(SEARCH("T9",coding!$J80)),1,0))</f>
        <v>0</v>
      </c>
      <c r="W80" s="1" t="n">
        <f aca="false">IF(coding!$O80="",0,IF(ISNUMBER(SEARCH("T1",coding!$O80)),1,0))</f>
        <v>1</v>
      </c>
      <c r="X80" s="1" t="n">
        <f aca="false">IF(coding!$O80="",0,IF(ISNUMBER(SEARCH("T2",coding!$O80)),1,0))</f>
        <v>1</v>
      </c>
      <c r="Y80" s="1" t="n">
        <f aca="false">IF(coding!$O80="",0,IF(ISNUMBER(SEARCH("T3",coding!$O80)),1,0))</f>
        <v>0</v>
      </c>
      <c r="Z80" s="1" t="n">
        <f aca="false">IF(coding!$O80="",0,IF(ISNUMBER(SEARCH("T4",coding!$O80)),1,0))</f>
        <v>0</v>
      </c>
      <c r="AA80" s="1" t="n">
        <f aca="false">IF(coding!$O80="",0,IF(ISNUMBER(SEARCH("T5",coding!$O80)),1,0))</f>
        <v>0</v>
      </c>
      <c r="AB80" s="1" t="n">
        <f aca="false">IF(coding!$O80="",0,IF(ISNUMBER(SEARCH("T6",coding!$O80)),1,0))</f>
        <v>0</v>
      </c>
      <c r="AC80" s="1" t="n">
        <f aca="false">IF(coding!$O80="",0,IF(ISNUMBER(SEARCH("T7",coding!$O80)),1,0))</f>
        <v>0</v>
      </c>
      <c r="AD80" s="1" t="n">
        <f aca="false">IF(coding!$O80="",0,IF(ISNUMBER(SEARCH("T8",coding!$O80)),1,0))</f>
        <v>1</v>
      </c>
      <c r="AE80" s="1" t="n">
        <f aca="false">IF(coding!$O80="",0,IF(ISNUMBER(SEARCH("T9",coding!$O80)),1,0))</f>
        <v>0</v>
      </c>
      <c r="AF80" s="1" t="n">
        <f aca="false">SUMPRODUCT($E80:$M80,$N80:$V80)</f>
        <v>0</v>
      </c>
      <c r="AG80" s="1" t="n">
        <f aca="false">SUMPRODUCT(--(($E80:$M80+$N80:$V80)&gt;0))</f>
        <v>0</v>
      </c>
      <c r="AH80" s="1" t="str">
        <f aca="false">IF(AND($B80=1,$C80=1),IF($AG80=0,1,$AF80/$AG80),"")</f>
        <v/>
      </c>
      <c r="AI80" s="1" t="str">
        <f aca="false">IF(AND($B80=1,$C80=1),IF(coding!$I80=coding!$J80,1,0),"")</f>
        <v/>
      </c>
      <c r="AJ80" s="1" t="str">
        <f aca="false">IF($B80=1,IF(SUMPRODUCT(--(($E80:$M80+$W80:$AE80)&gt;0))=0,1,SUMPRODUCT($E80:$M80,$W80:$AE80)/SUMPRODUCT(--(($E80:$M80+$W80:$AE80)&gt;0))),"")</f>
        <v/>
      </c>
      <c r="AK80" s="1" t="str">
        <f aca="false">IF($C80=1,IF(SUMPRODUCT(--(($N80:$V80+$W80:$AE80)&gt;0))=0,1,SUMPRODUCT($N80:$V80,$W80:$AE80)/SUMPRODUCT(--(($N80:$V80+$W80:$AE80)&gt;0))),"")</f>
        <v/>
      </c>
    </row>
    <row r="81" customFormat="false" ht="15" hidden="false" customHeight="true" outlineLevel="0" collapsed="false">
      <c r="A81" s="1" t="str">
        <f aca="false">coding!$A81</f>
        <v>P080</v>
      </c>
      <c r="B81" s="1" t="n">
        <f aca="false">IF(coding!$I81="",0,1)</f>
        <v>0</v>
      </c>
      <c r="C81" s="1" t="n">
        <f aca="false">IF(coding!$J81="",0,1)</f>
        <v>0</v>
      </c>
      <c r="D81" s="1" t="n">
        <f aca="false">IF(coding!$O81="",0,1)</f>
        <v>1</v>
      </c>
      <c r="E81" s="1" t="n">
        <f aca="false">IF(coding!$I81="",0,IF(ISNUMBER(SEARCH("T1",coding!$I81)),1,0))</f>
        <v>0</v>
      </c>
      <c r="F81" s="1" t="n">
        <f aca="false">IF(coding!$I81="",0,IF(ISNUMBER(SEARCH("T2",coding!$I81)),1,0))</f>
        <v>0</v>
      </c>
      <c r="G81" s="1" t="n">
        <f aca="false">IF(coding!$I81="",0,IF(ISNUMBER(SEARCH("T3",coding!$I81)),1,0))</f>
        <v>0</v>
      </c>
      <c r="H81" s="1" t="n">
        <f aca="false">IF(coding!$I81="",0,IF(ISNUMBER(SEARCH("T4",coding!$I81)),1,0))</f>
        <v>0</v>
      </c>
      <c r="I81" s="1" t="n">
        <f aca="false">IF(coding!$I81="",0,IF(ISNUMBER(SEARCH("T5",coding!$I81)),1,0))</f>
        <v>0</v>
      </c>
      <c r="J81" s="1" t="n">
        <f aca="false">IF(coding!$I81="",0,IF(ISNUMBER(SEARCH("T6",coding!$I81)),1,0))</f>
        <v>0</v>
      </c>
      <c r="K81" s="1" t="n">
        <f aca="false">IF(coding!$I81="",0,IF(ISNUMBER(SEARCH("T7",coding!$I81)),1,0))</f>
        <v>0</v>
      </c>
      <c r="L81" s="1" t="n">
        <f aca="false">IF(coding!$I81="",0,IF(ISNUMBER(SEARCH("T8",coding!$I81)),1,0))</f>
        <v>0</v>
      </c>
      <c r="M81" s="1" t="n">
        <f aca="false">IF(coding!$I81="",0,IF(ISNUMBER(SEARCH("T9",coding!$I81)),1,0))</f>
        <v>0</v>
      </c>
      <c r="N81" s="1" t="n">
        <f aca="false">IF(coding!$J81="",0,IF(ISNUMBER(SEARCH("T1",coding!$J81)),1,0))</f>
        <v>0</v>
      </c>
      <c r="O81" s="1" t="n">
        <f aca="false">IF(coding!$J81="",0,IF(ISNUMBER(SEARCH("T2",coding!$J81)),1,0))</f>
        <v>0</v>
      </c>
      <c r="P81" s="1" t="n">
        <f aca="false">IF(coding!$J81="",0,IF(ISNUMBER(SEARCH("T3",coding!$J81)),1,0))</f>
        <v>0</v>
      </c>
      <c r="Q81" s="1" t="n">
        <f aca="false">IF(coding!$J81="",0,IF(ISNUMBER(SEARCH("T4",coding!$J81)),1,0))</f>
        <v>0</v>
      </c>
      <c r="R81" s="1" t="n">
        <f aca="false">IF(coding!$J81="",0,IF(ISNUMBER(SEARCH("T5",coding!$J81)),1,0))</f>
        <v>0</v>
      </c>
      <c r="S81" s="1" t="n">
        <f aca="false">IF(coding!$J81="",0,IF(ISNUMBER(SEARCH("T6",coding!$J81)),1,0))</f>
        <v>0</v>
      </c>
      <c r="T81" s="1" t="n">
        <f aca="false">IF(coding!$J81="",0,IF(ISNUMBER(SEARCH("T7",coding!$J81)),1,0))</f>
        <v>0</v>
      </c>
      <c r="U81" s="1" t="n">
        <f aca="false">IF(coding!$J81="",0,IF(ISNUMBER(SEARCH("T8",coding!$J81)),1,0))</f>
        <v>0</v>
      </c>
      <c r="V81" s="1" t="n">
        <f aca="false">IF(coding!$J81="",0,IF(ISNUMBER(SEARCH("T9",coding!$J81)),1,0))</f>
        <v>0</v>
      </c>
      <c r="W81" s="1" t="n">
        <f aca="false">IF(coding!$O81="",0,IF(ISNUMBER(SEARCH("T1",coding!$O81)),1,0))</f>
        <v>1</v>
      </c>
      <c r="X81" s="1" t="n">
        <f aca="false">IF(coding!$O81="",0,IF(ISNUMBER(SEARCH("T2",coding!$O81)),1,0))</f>
        <v>0</v>
      </c>
      <c r="Y81" s="1" t="n">
        <f aca="false">IF(coding!$O81="",0,IF(ISNUMBER(SEARCH("T3",coding!$O81)),1,0))</f>
        <v>1</v>
      </c>
      <c r="Z81" s="1" t="n">
        <f aca="false">IF(coding!$O81="",0,IF(ISNUMBER(SEARCH("T4",coding!$O81)),1,0))</f>
        <v>0</v>
      </c>
      <c r="AA81" s="1" t="n">
        <f aca="false">IF(coding!$O81="",0,IF(ISNUMBER(SEARCH("T5",coding!$O81)),1,0))</f>
        <v>0</v>
      </c>
      <c r="AB81" s="1" t="n">
        <f aca="false">IF(coding!$O81="",0,IF(ISNUMBER(SEARCH("T6",coding!$O81)),1,0))</f>
        <v>0</v>
      </c>
      <c r="AC81" s="1" t="n">
        <f aca="false">IF(coding!$O81="",0,IF(ISNUMBER(SEARCH("T7",coding!$O81)),1,0))</f>
        <v>0</v>
      </c>
      <c r="AD81" s="1" t="n">
        <f aca="false">IF(coding!$O81="",0,IF(ISNUMBER(SEARCH("T8",coding!$O81)),1,0))</f>
        <v>0</v>
      </c>
      <c r="AE81" s="1" t="n">
        <f aca="false">IF(coding!$O81="",0,IF(ISNUMBER(SEARCH("T9",coding!$O81)),1,0))</f>
        <v>0</v>
      </c>
      <c r="AF81" s="1" t="n">
        <f aca="false">SUMPRODUCT($E81:$M81,$N81:$V81)</f>
        <v>0</v>
      </c>
      <c r="AG81" s="1" t="n">
        <f aca="false">SUMPRODUCT(--(($E81:$M81+$N81:$V81)&gt;0))</f>
        <v>0</v>
      </c>
      <c r="AH81" s="1" t="str">
        <f aca="false">IF(AND($B81=1,$C81=1),IF($AG81=0,1,$AF81/$AG81),"")</f>
        <v/>
      </c>
      <c r="AI81" s="1" t="str">
        <f aca="false">IF(AND($B81=1,$C81=1),IF(coding!$I81=coding!$J81,1,0),"")</f>
        <v/>
      </c>
      <c r="AJ81" s="1" t="str">
        <f aca="false">IF($B81=1,IF(SUMPRODUCT(--(($E81:$M81+$W81:$AE81)&gt;0))=0,1,SUMPRODUCT($E81:$M81,$W81:$AE81)/SUMPRODUCT(--(($E81:$M81+$W81:$AE81)&gt;0))),"")</f>
        <v/>
      </c>
      <c r="AK81" s="1" t="str">
        <f aca="false">IF($C81=1,IF(SUMPRODUCT(--(($N81:$V81+$W81:$AE81)&gt;0))=0,1,SUMPRODUCT($N81:$V81,$W81:$AE81)/SUMPRODUCT(--(($N81:$V81+$W81:$AE81)&gt;0))),"")</f>
        <v/>
      </c>
    </row>
    <row r="82" customFormat="false" ht="15" hidden="false" customHeight="true" outlineLevel="0" collapsed="false">
      <c r="A82" s="1" t="str">
        <f aca="false">coding!$A82</f>
        <v>P081</v>
      </c>
      <c r="B82" s="1" t="n">
        <f aca="false">IF(coding!$I82="",0,1)</f>
        <v>0</v>
      </c>
      <c r="C82" s="1" t="n">
        <f aca="false">IF(coding!$J82="",0,1)</f>
        <v>0</v>
      </c>
      <c r="D82" s="1" t="n">
        <f aca="false">IF(coding!$O82="",0,1)</f>
        <v>1</v>
      </c>
      <c r="E82" s="1" t="n">
        <f aca="false">IF(coding!$I82="",0,IF(ISNUMBER(SEARCH("T1",coding!$I82)),1,0))</f>
        <v>0</v>
      </c>
      <c r="F82" s="1" t="n">
        <f aca="false">IF(coding!$I82="",0,IF(ISNUMBER(SEARCH("T2",coding!$I82)),1,0))</f>
        <v>0</v>
      </c>
      <c r="G82" s="1" t="n">
        <f aca="false">IF(coding!$I82="",0,IF(ISNUMBER(SEARCH("T3",coding!$I82)),1,0))</f>
        <v>0</v>
      </c>
      <c r="H82" s="1" t="n">
        <f aca="false">IF(coding!$I82="",0,IF(ISNUMBER(SEARCH("T4",coding!$I82)),1,0))</f>
        <v>0</v>
      </c>
      <c r="I82" s="1" t="n">
        <f aca="false">IF(coding!$I82="",0,IF(ISNUMBER(SEARCH("T5",coding!$I82)),1,0))</f>
        <v>0</v>
      </c>
      <c r="J82" s="1" t="n">
        <f aca="false">IF(coding!$I82="",0,IF(ISNUMBER(SEARCH("T6",coding!$I82)),1,0))</f>
        <v>0</v>
      </c>
      <c r="K82" s="1" t="n">
        <f aca="false">IF(coding!$I82="",0,IF(ISNUMBER(SEARCH("T7",coding!$I82)),1,0))</f>
        <v>0</v>
      </c>
      <c r="L82" s="1" t="n">
        <f aca="false">IF(coding!$I82="",0,IF(ISNUMBER(SEARCH("T8",coding!$I82)),1,0))</f>
        <v>0</v>
      </c>
      <c r="M82" s="1" t="n">
        <f aca="false">IF(coding!$I82="",0,IF(ISNUMBER(SEARCH("T9",coding!$I82)),1,0))</f>
        <v>0</v>
      </c>
      <c r="N82" s="1" t="n">
        <f aca="false">IF(coding!$J82="",0,IF(ISNUMBER(SEARCH("T1",coding!$J82)),1,0))</f>
        <v>0</v>
      </c>
      <c r="O82" s="1" t="n">
        <f aca="false">IF(coding!$J82="",0,IF(ISNUMBER(SEARCH("T2",coding!$J82)),1,0))</f>
        <v>0</v>
      </c>
      <c r="P82" s="1" t="n">
        <f aca="false">IF(coding!$J82="",0,IF(ISNUMBER(SEARCH("T3",coding!$J82)),1,0))</f>
        <v>0</v>
      </c>
      <c r="Q82" s="1" t="n">
        <f aca="false">IF(coding!$J82="",0,IF(ISNUMBER(SEARCH("T4",coding!$J82)),1,0))</f>
        <v>0</v>
      </c>
      <c r="R82" s="1" t="n">
        <f aca="false">IF(coding!$J82="",0,IF(ISNUMBER(SEARCH("T5",coding!$J82)),1,0))</f>
        <v>0</v>
      </c>
      <c r="S82" s="1" t="n">
        <f aca="false">IF(coding!$J82="",0,IF(ISNUMBER(SEARCH("T6",coding!$J82)),1,0))</f>
        <v>0</v>
      </c>
      <c r="T82" s="1" t="n">
        <f aca="false">IF(coding!$J82="",0,IF(ISNUMBER(SEARCH("T7",coding!$J82)),1,0))</f>
        <v>0</v>
      </c>
      <c r="U82" s="1" t="n">
        <f aca="false">IF(coding!$J82="",0,IF(ISNUMBER(SEARCH("T8",coding!$J82)),1,0))</f>
        <v>0</v>
      </c>
      <c r="V82" s="1" t="n">
        <f aca="false">IF(coding!$J82="",0,IF(ISNUMBER(SEARCH("T9",coding!$J82)),1,0))</f>
        <v>0</v>
      </c>
      <c r="W82" s="1" t="n">
        <f aca="false">IF(coding!$O82="",0,IF(ISNUMBER(SEARCH("T1",coding!$O82)),1,0))</f>
        <v>1</v>
      </c>
      <c r="X82" s="1" t="n">
        <f aca="false">IF(coding!$O82="",0,IF(ISNUMBER(SEARCH("T2",coding!$O82)),1,0))</f>
        <v>0</v>
      </c>
      <c r="Y82" s="1" t="n">
        <f aca="false">IF(coding!$O82="",0,IF(ISNUMBER(SEARCH("T3",coding!$O82)),1,0))</f>
        <v>1</v>
      </c>
      <c r="Z82" s="1" t="n">
        <f aca="false">IF(coding!$O82="",0,IF(ISNUMBER(SEARCH("T4",coding!$O82)),1,0))</f>
        <v>0</v>
      </c>
      <c r="AA82" s="1" t="n">
        <f aca="false">IF(coding!$O82="",0,IF(ISNUMBER(SEARCH("T5",coding!$O82)),1,0))</f>
        <v>0</v>
      </c>
      <c r="AB82" s="1" t="n">
        <f aca="false">IF(coding!$O82="",0,IF(ISNUMBER(SEARCH("T6",coding!$O82)),1,0))</f>
        <v>0</v>
      </c>
      <c r="AC82" s="1" t="n">
        <f aca="false">IF(coding!$O82="",0,IF(ISNUMBER(SEARCH("T7",coding!$O82)),1,0))</f>
        <v>0</v>
      </c>
      <c r="AD82" s="1" t="n">
        <f aca="false">IF(coding!$O82="",0,IF(ISNUMBER(SEARCH("T8",coding!$O82)),1,0))</f>
        <v>0</v>
      </c>
      <c r="AE82" s="1" t="n">
        <f aca="false">IF(coding!$O82="",0,IF(ISNUMBER(SEARCH("T9",coding!$O82)),1,0))</f>
        <v>0</v>
      </c>
      <c r="AF82" s="1" t="n">
        <f aca="false">SUMPRODUCT($E82:$M82,$N82:$V82)</f>
        <v>0</v>
      </c>
      <c r="AG82" s="1" t="n">
        <f aca="false">SUMPRODUCT(--(($E82:$M82+$N82:$V82)&gt;0))</f>
        <v>0</v>
      </c>
      <c r="AH82" s="1" t="str">
        <f aca="false">IF(AND($B82=1,$C82=1),IF($AG82=0,1,$AF82/$AG82),"")</f>
        <v/>
      </c>
      <c r="AI82" s="1" t="str">
        <f aca="false">IF(AND($B82=1,$C82=1),IF(coding!$I82=coding!$J82,1,0),"")</f>
        <v/>
      </c>
      <c r="AJ82" s="1" t="str">
        <f aca="false">IF($B82=1,IF(SUMPRODUCT(--(($E82:$M82+$W82:$AE82)&gt;0))=0,1,SUMPRODUCT($E82:$M82,$W82:$AE82)/SUMPRODUCT(--(($E82:$M82+$W82:$AE82)&gt;0))),"")</f>
        <v/>
      </c>
      <c r="AK82" s="1" t="str">
        <f aca="false">IF($C82=1,IF(SUMPRODUCT(--(($N82:$V82+$W82:$AE82)&gt;0))=0,1,SUMPRODUCT($N82:$V82,$W82:$AE82)/SUMPRODUCT(--(($N82:$V82+$W82:$AE82)&gt;0))),"")</f>
        <v/>
      </c>
    </row>
    <row r="83" customFormat="false" ht="15" hidden="false" customHeight="true" outlineLevel="0" collapsed="false">
      <c r="A83" s="1" t="str">
        <f aca="false">coding!$A83</f>
        <v>P082</v>
      </c>
      <c r="B83" s="1" t="n">
        <f aca="false">IF(coding!$I83="",0,1)</f>
        <v>0</v>
      </c>
      <c r="C83" s="1" t="n">
        <f aca="false">IF(coding!$J83="",0,1)</f>
        <v>0</v>
      </c>
      <c r="D83" s="1" t="n">
        <f aca="false">IF(coding!$O83="",0,1)</f>
        <v>1</v>
      </c>
      <c r="E83" s="1" t="n">
        <f aca="false">IF(coding!$I83="",0,IF(ISNUMBER(SEARCH("T1",coding!$I83)),1,0))</f>
        <v>0</v>
      </c>
      <c r="F83" s="1" t="n">
        <f aca="false">IF(coding!$I83="",0,IF(ISNUMBER(SEARCH("T2",coding!$I83)),1,0))</f>
        <v>0</v>
      </c>
      <c r="G83" s="1" t="n">
        <f aca="false">IF(coding!$I83="",0,IF(ISNUMBER(SEARCH("T3",coding!$I83)),1,0))</f>
        <v>0</v>
      </c>
      <c r="H83" s="1" t="n">
        <f aca="false">IF(coding!$I83="",0,IF(ISNUMBER(SEARCH("T4",coding!$I83)),1,0))</f>
        <v>0</v>
      </c>
      <c r="I83" s="1" t="n">
        <f aca="false">IF(coding!$I83="",0,IF(ISNUMBER(SEARCH("T5",coding!$I83)),1,0))</f>
        <v>0</v>
      </c>
      <c r="J83" s="1" t="n">
        <f aca="false">IF(coding!$I83="",0,IF(ISNUMBER(SEARCH("T6",coding!$I83)),1,0))</f>
        <v>0</v>
      </c>
      <c r="K83" s="1" t="n">
        <f aca="false">IF(coding!$I83="",0,IF(ISNUMBER(SEARCH("T7",coding!$I83)),1,0))</f>
        <v>0</v>
      </c>
      <c r="L83" s="1" t="n">
        <f aca="false">IF(coding!$I83="",0,IF(ISNUMBER(SEARCH("T8",coding!$I83)),1,0))</f>
        <v>0</v>
      </c>
      <c r="M83" s="1" t="n">
        <f aca="false">IF(coding!$I83="",0,IF(ISNUMBER(SEARCH("T9",coding!$I83)),1,0))</f>
        <v>0</v>
      </c>
      <c r="N83" s="1" t="n">
        <f aca="false">IF(coding!$J83="",0,IF(ISNUMBER(SEARCH("T1",coding!$J83)),1,0))</f>
        <v>0</v>
      </c>
      <c r="O83" s="1" t="n">
        <f aca="false">IF(coding!$J83="",0,IF(ISNUMBER(SEARCH("T2",coding!$J83)),1,0))</f>
        <v>0</v>
      </c>
      <c r="P83" s="1" t="n">
        <f aca="false">IF(coding!$J83="",0,IF(ISNUMBER(SEARCH("T3",coding!$J83)),1,0))</f>
        <v>0</v>
      </c>
      <c r="Q83" s="1" t="n">
        <f aca="false">IF(coding!$J83="",0,IF(ISNUMBER(SEARCH("T4",coding!$J83)),1,0))</f>
        <v>0</v>
      </c>
      <c r="R83" s="1" t="n">
        <f aca="false">IF(coding!$J83="",0,IF(ISNUMBER(SEARCH("T5",coding!$J83)),1,0))</f>
        <v>0</v>
      </c>
      <c r="S83" s="1" t="n">
        <f aca="false">IF(coding!$J83="",0,IF(ISNUMBER(SEARCH("T6",coding!$J83)),1,0))</f>
        <v>0</v>
      </c>
      <c r="T83" s="1" t="n">
        <f aca="false">IF(coding!$J83="",0,IF(ISNUMBER(SEARCH("T7",coding!$J83)),1,0))</f>
        <v>0</v>
      </c>
      <c r="U83" s="1" t="n">
        <f aca="false">IF(coding!$J83="",0,IF(ISNUMBER(SEARCH("T8",coding!$J83)),1,0))</f>
        <v>0</v>
      </c>
      <c r="V83" s="1" t="n">
        <f aca="false">IF(coding!$J83="",0,IF(ISNUMBER(SEARCH("T9",coding!$J83)),1,0))</f>
        <v>0</v>
      </c>
      <c r="W83" s="1" t="n">
        <f aca="false">IF(coding!$O83="",0,IF(ISNUMBER(SEARCH("T1",coding!$O83)),1,0))</f>
        <v>0</v>
      </c>
      <c r="X83" s="1" t="n">
        <f aca="false">IF(coding!$O83="",0,IF(ISNUMBER(SEARCH("T2",coding!$O83)),1,0))</f>
        <v>0</v>
      </c>
      <c r="Y83" s="1" t="n">
        <f aca="false">IF(coding!$O83="",0,IF(ISNUMBER(SEARCH("T3",coding!$O83)),1,0))</f>
        <v>0</v>
      </c>
      <c r="Z83" s="1" t="n">
        <f aca="false">IF(coding!$O83="",0,IF(ISNUMBER(SEARCH("T4",coding!$O83)),1,0))</f>
        <v>0</v>
      </c>
      <c r="AA83" s="1" t="n">
        <f aca="false">IF(coding!$O83="",0,IF(ISNUMBER(SEARCH("T5",coding!$O83)),1,0))</f>
        <v>1</v>
      </c>
      <c r="AB83" s="1" t="n">
        <f aca="false">IF(coding!$O83="",0,IF(ISNUMBER(SEARCH("T6",coding!$O83)),1,0))</f>
        <v>0</v>
      </c>
      <c r="AC83" s="1" t="n">
        <f aca="false">IF(coding!$O83="",0,IF(ISNUMBER(SEARCH("T7",coding!$O83)),1,0))</f>
        <v>0</v>
      </c>
      <c r="AD83" s="1" t="n">
        <f aca="false">IF(coding!$O83="",0,IF(ISNUMBER(SEARCH("T8",coding!$O83)),1,0))</f>
        <v>0</v>
      </c>
      <c r="AE83" s="1" t="n">
        <f aca="false">IF(coding!$O83="",0,IF(ISNUMBER(SEARCH("T9",coding!$O83)),1,0))</f>
        <v>0</v>
      </c>
      <c r="AF83" s="1" t="n">
        <f aca="false">SUMPRODUCT($E83:$M83,$N83:$V83)</f>
        <v>0</v>
      </c>
      <c r="AG83" s="1" t="n">
        <f aca="false">SUMPRODUCT(--(($E83:$M83+$N83:$V83)&gt;0))</f>
        <v>0</v>
      </c>
      <c r="AH83" s="1" t="str">
        <f aca="false">IF(AND($B83=1,$C83=1),IF($AG83=0,1,$AF83/$AG83),"")</f>
        <v/>
      </c>
      <c r="AI83" s="1" t="str">
        <f aca="false">IF(AND($B83=1,$C83=1),IF(coding!$I83=coding!$J83,1,0),"")</f>
        <v/>
      </c>
      <c r="AJ83" s="1" t="str">
        <f aca="false">IF($B83=1,IF(SUMPRODUCT(--(($E83:$M83+$W83:$AE83)&gt;0))=0,1,SUMPRODUCT($E83:$M83,$W83:$AE83)/SUMPRODUCT(--(($E83:$M83+$W83:$AE83)&gt;0))),"")</f>
        <v/>
      </c>
      <c r="AK83" s="1" t="str">
        <f aca="false">IF($C83=1,IF(SUMPRODUCT(--(($N83:$V83+$W83:$AE83)&gt;0))=0,1,SUMPRODUCT($N83:$V83,$W83:$AE83)/SUMPRODUCT(--(($N83:$V83+$W83:$AE83)&gt;0))),"")</f>
        <v/>
      </c>
    </row>
    <row r="84" customFormat="false" ht="15" hidden="false" customHeight="true" outlineLevel="0" collapsed="false">
      <c r="A84" s="1" t="str">
        <f aca="false">coding!$A84</f>
        <v>P083</v>
      </c>
      <c r="B84" s="1" t="n">
        <f aca="false">IF(coding!$I84="",0,1)</f>
        <v>0</v>
      </c>
      <c r="C84" s="1" t="n">
        <f aca="false">IF(coding!$J84="",0,1)</f>
        <v>0</v>
      </c>
      <c r="D84" s="1" t="n">
        <f aca="false">IF(coding!$O84="",0,1)</f>
        <v>1</v>
      </c>
      <c r="E84" s="1" t="n">
        <f aca="false">IF(coding!$I84="",0,IF(ISNUMBER(SEARCH("T1",coding!$I84)),1,0))</f>
        <v>0</v>
      </c>
      <c r="F84" s="1" t="n">
        <f aca="false">IF(coding!$I84="",0,IF(ISNUMBER(SEARCH("T2",coding!$I84)),1,0))</f>
        <v>0</v>
      </c>
      <c r="G84" s="1" t="n">
        <f aca="false">IF(coding!$I84="",0,IF(ISNUMBER(SEARCH("T3",coding!$I84)),1,0))</f>
        <v>0</v>
      </c>
      <c r="H84" s="1" t="n">
        <f aca="false">IF(coding!$I84="",0,IF(ISNUMBER(SEARCH("T4",coding!$I84)),1,0))</f>
        <v>0</v>
      </c>
      <c r="I84" s="1" t="n">
        <f aca="false">IF(coding!$I84="",0,IF(ISNUMBER(SEARCH("T5",coding!$I84)),1,0))</f>
        <v>0</v>
      </c>
      <c r="J84" s="1" t="n">
        <f aca="false">IF(coding!$I84="",0,IF(ISNUMBER(SEARCH("T6",coding!$I84)),1,0))</f>
        <v>0</v>
      </c>
      <c r="K84" s="1" t="n">
        <f aca="false">IF(coding!$I84="",0,IF(ISNUMBER(SEARCH("T7",coding!$I84)),1,0))</f>
        <v>0</v>
      </c>
      <c r="L84" s="1" t="n">
        <f aca="false">IF(coding!$I84="",0,IF(ISNUMBER(SEARCH("T8",coding!$I84)),1,0))</f>
        <v>0</v>
      </c>
      <c r="M84" s="1" t="n">
        <f aca="false">IF(coding!$I84="",0,IF(ISNUMBER(SEARCH("T9",coding!$I84)),1,0))</f>
        <v>0</v>
      </c>
      <c r="N84" s="1" t="n">
        <f aca="false">IF(coding!$J84="",0,IF(ISNUMBER(SEARCH("T1",coding!$J84)),1,0))</f>
        <v>0</v>
      </c>
      <c r="O84" s="1" t="n">
        <f aca="false">IF(coding!$J84="",0,IF(ISNUMBER(SEARCH("T2",coding!$J84)),1,0))</f>
        <v>0</v>
      </c>
      <c r="P84" s="1" t="n">
        <f aca="false">IF(coding!$J84="",0,IF(ISNUMBER(SEARCH("T3",coding!$J84)),1,0))</f>
        <v>0</v>
      </c>
      <c r="Q84" s="1" t="n">
        <f aca="false">IF(coding!$J84="",0,IF(ISNUMBER(SEARCH("T4",coding!$J84)),1,0))</f>
        <v>0</v>
      </c>
      <c r="R84" s="1" t="n">
        <f aca="false">IF(coding!$J84="",0,IF(ISNUMBER(SEARCH("T5",coding!$J84)),1,0))</f>
        <v>0</v>
      </c>
      <c r="S84" s="1" t="n">
        <f aca="false">IF(coding!$J84="",0,IF(ISNUMBER(SEARCH("T6",coding!$J84)),1,0))</f>
        <v>0</v>
      </c>
      <c r="T84" s="1" t="n">
        <f aca="false">IF(coding!$J84="",0,IF(ISNUMBER(SEARCH("T7",coding!$J84)),1,0))</f>
        <v>0</v>
      </c>
      <c r="U84" s="1" t="n">
        <f aca="false">IF(coding!$J84="",0,IF(ISNUMBER(SEARCH("T8",coding!$J84)),1,0))</f>
        <v>0</v>
      </c>
      <c r="V84" s="1" t="n">
        <f aca="false">IF(coding!$J84="",0,IF(ISNUMBER(SEARCH("T9",coding!$J84)),1,0))</f>
        <v>0</v>
      </c>
      <c r="W84" s="1" t="n">
        <f aca="false">IF(coding!$O84="",0,IF(ISNUMBER(SEARCH("T1",coding!$O84)),1,0))</f>
        <v>0</v>
      </c>
      <c r="X84" s="1" t="n">
        <f aca="false">IF(coding!$O84="",0,IF(ISNUMBER(SEARCH("T2",coding!$O84)),1,0))</f>
        <v>0</v>
      </c>
      <c r="Y84" s="1" t="n">
        <f aca="false">IF(coding!$O84="",0,IF(ISNUMBER(SEARCH("T3",coding!$O84)),1,0))</f>
        <v>0</v>
      </c>
      <c r="Z84" s="1" t="n">
        <f aca="false">IF(coding!$O84="",0,IF(ISNUMBER(SEARCH("T4",coding!$O84)),1,0))</f>
        <v>0</v>
      </c>
      <c r="AA84" s="1" t="n">
        <f aca="false">IF(coding!$O84="",0,IF(ISNUMBER(SEARCH("T5",coding!$O84)),1,0))</f>
        <v>0</v>
      </c>
      <c r="AB84" s="1" t="n">
        <f aca="false">IF(coding!$O84="",0,IF(ISNUMBER(SEARCH("T6",coding!$O84)),1,0))</f>
        <v>0</v>
      </c>
      <c r="AC84" s="1" t="n">
        <f aca="false">IF(coding!$O84="",0,IF(ISNUMBER(SEARCH("T7",coding!$O84)),1,0))</f>
        <v>0</v>
      </c>
      <c r="AD84" s="1" t="n">
        <f aca="false">IF(coding!$O84="",0,IF(ISNUMBER(SEARCH("T8",coding!$O84)),1,0))</f>
        <v>1</v>
      </c>
      <c r="AE84" s="1" t="n">
        <f aca="false">IF(coding!$O84="",0,IF(ISNUMBER(SEARCH("T9",coding!$O84)),1,0))</f>
        <v>0</v>
      </c>
      <c r="AF84" s="1" t="n">
        <f aca="false">SUMPRODUCT($E84:$M84,$N84:$V84)</f>
        <v>0</v>
      </c>
      <c r="AG84" s="1" t="n">
        <f aca="false">SUMPRODUCT(--(($E84:$M84+$N84:$V84)&gt;0))</f>
        <v>0</v>
      </c>
      <c r="AH84" s="1" t="str">
        <f aca="false">IF(AND($B84=1,$C84=1),IF($AG84=0,1,$AF84/$AG84),"")</f>
        <v/>
      </c>
      <c r="AI84" s="1" t="str">
        <f aca="false">IF(AND($B84=1,$C84=1),IF(coding!$I84=coding!$J84,1,0),"")</f>
        <v/>
      </c>
      <c r="AJ84" s="1" t="str">
        <f aca="false">IF($B84=1,IF(SUMPRODUCT(--(($E84:$M84+$W84:$AE84)&gt;0))=0,1,SUMPRODUCT($E84:$M84,$W84:$AE84)/SUMPRODUCT(--(($E84:$M84+$W84:$AE84)&gt;0))),"")</f>
        <v/>
      </c>
      <c r="AK84" s="1" t="str">
        <f aca="false">IF($C84=1,IF(SUMPRODUCT(--(($N84:$V84+$W84:$AE84)&gt;0))=0,1,SUMPRODUCT($N84:$V84,$W84:$AE84)/SUMPRODUCT(--(($N84:$V84+$W84:$AE84)&gt;0))),"")</f>
        <v/>
      </c>
    </row>
    <row r="85" customFormat="false" ht="15" hidden="false" customHeight="true" outlineLevel="0" collapsed="false">
      <c r="A85" s="1" t="str">
        <f aca="false">coding!$A85</f>
        <v>P084</v>
      </c>
      <c r="B85" s="1" t="n">
        <f aca="false">IF(coding!$I85="",0,1)</f>
        <v>0</v>
      </c>
      <c r="C85" s="1" t="n">
        <f aca="false">IF(coding!$J85="",0,1)</f>
        <v>0</v>
      </c>
      <c r="D85" s="1" t="n">
        <f aca="false">IF(coding!$O85="",0,1)</f>
        <v>1</v>
      </c>
      <c r="E85" s="1" t="n">
        <f aca="false">IF(coding!$I85="",0,IF(ISNUMBER(SEARCH("T1",coding!$I85)),1,0))</f>
        <v>0</v>
      </c>
      <c r="F85" s="1" t="n">
        <f aca="false">IF(coding!$I85="",0,IF(ISNUMBER(SEARCH("T2",coding!$I85)),1,0))</f>
        <v>0</v>
      </c>
      <c r="G85" s="1" t="n">
        <f aca="false">IF(coding!$I85="",0,IF(ISNUMBER(SEARCH("T3",coding!$I85)),1,0))</f>
        <v>0</v>
      </c>
      <c r="H85" s="1" t="n">
        <f aca="false">IF(coding!$I85="",0,IF(ISNUMBER(SEARCH("T4",coding!$I85)),1,0))</f>
        <v>0</v>
      </c>
      <c r="I85" s="1" t="n">
        <f aca="false">IF(coding!$I85="",0,IF(ISNUMBER(SEARCH("T5",coding!$I85)),1,0))</f>
        <v>0</v>
      </c>
      <c r="J85" s="1" t="n">
        <f aca="false">IF(coding!$I85="",0,IF(ISNUMBER(SEARCH("T6",coding!$I85)),1,0))</f>
        <v>0</v>
      </c>
      <c r="K85" s="1" t="n">
        <f aca="false">IF(coding!$I85="",0,IF(ISNUMBER(SEARCH("T7",coding!$I85)),1,0))</f>
        <v>0</v>
      </c>
      <c r="L85" s="1" t="n">
        <f aca="false">IF(coding!$I85="",0,IF(ISNUMBER(SEARCH("T8",coding!$I85)),1,0))</f>
        <v>0</v>
      </c>
      <c r="M85" s="1" t="n">
        <f aca="false">IF(coding!$I85="",0,IF(ISNUMBER(SEARCH("T9",coding!$I85)),1,0))</f>
        <v>0</v>
      </c>
      <c r="N85" s="1" t="n">
        <f aca="false">IF(coding!$J85="",0,IF(ISNUMBER(SEARCH("T1",coding!$J85)),1,0))</f>
        <v>0</v>
      </c>
      <c r="O85" s="1" t="n">
        <f aca="false">IF(coding!$J85="",0,IF(ISNUMBER(SEARCH("T2",coding!$J85)),1,0))</f>
        <v>0</v>
      </c>
      <c r="P85" s="1" t="n">
        <f aca="false">IF(coding!$J85="",0,IF(ISNUMBER(SEARCH("T3",coding!$J85)),1,0))</f>
        <v>0</v>
      </c>
      <c r="Q85" s="1" t="n">
        <f aca="false">IF(coding!$J85="",0,IF(ISNUMBER(SEARCH("T4",coding!$J85)),1,0))</f>
        <v>0</v>
      </c>
      <c r="R85" s="1" t="n">
        <f aca="false">IF(coding!$J85="",0,IF(ISNUMBER(SEARCH("T5",coding!$J85)),1,0))</f>
        <v>0</v>
      </c>
      <c r="S85" s="1" t="n">
        <f aca="false">IF(coding!$J85="",0,IF(ISNUMBER(SEARCH("T6",coding!$J85)),1,0))</f>
        <v>0</v>
      </c>
      <c r="T85" s="1" t="n">
        <f aca="false">IF(coding!$J85="",0,IF(ISNUMBER(SEARCH("T7",coding!$J85)),1,0))</f>
        <v>0</v>
      </c>
      <c r="U85" s="1" t="n">
        <f aca="false">IF(coding!$J85="",0,IF(ISNUMBER(SEARCH("T8",coding!$J85)),1,0))</f>
        <v>0</v>
      </c>
      <c r="V85" s="1" t="n">
        <f aca="false">IF(coding!$J85="",0,IF(ISNUMBER(SEARCH("T9",coding!$J85)),1,0))</f>
        <v>0</v>
      </c>
      <c r="W85" s="1" t="n">
        <f aca="false">IF(coding!$O85="",0,IF(ISNUMBER(SEARCH("T1",coding!$O85)),1,0))</f>
        <v>1</v>
      </c>
      <c r="X85" s="1" t="n">
        <f aca="false">IF(coding!$O85="",0,IF(ISNUMBER(SEARCH("T2",coding!$O85)),1,0))</f>
        <v>1</v>
      </c>
      <c r="Y85" s="1" t="n">
        <f aca="false">IF(coding!$O85="",0,IF(ISNUMBER(SEARCH("T3",coding!$O85)),1,0))</f>
        <v>0</v>
      </c>
      <c r="Z85" s="1" t="n">
        <f aca="false">IF(coding!$O85="",0,IF(ISNUMBER(SEARCH("T4",coding!$O85)),1,0))</f>
        <v>0</v>
      </c>
      <c r="AA85" s="1" t="n">
        <f aca="false">IF(coding!$O85="",0,IF(ISNUMBER(SEARCH("T5",coding!$O85)),1,0))</f>
        <v>0</v>
      </c>
      <c r="AB85" s="1" t="n">
        <f aca="false">IF(coding!$O85="",0,IF(ISNUMBER(SEARCH("T6",coding!$O85)),1,0))</f>
        <v>0</v>
      </c>
      <c r="AC85" s="1" t="n">
        <f aca="false">IF(coding!$O85="",0,IF(ISNUMBER(SEARCH("T7",coding!$O85)),1,0))</f>
        <v>0</v>
      </c>
      <c r="AD85" s="1" t="n">
        <f aca="false">IF(coding!$O85="",0,IF(ISNUMBER(SEARCH("T8",coding!$O85)),1,0))</f>
        <v>0</v>
      </c>
      <c r="AE85" s="1" t="n">
        <f aca="false">IF(coding!$O85="",0,IF(ISNUMBER(SEARCH("T9",coding!$O85)),1,0))</f>
        <v>0</v>
      </c>
      <c r="AF85" s="1" t="n">
        <f aca="false">SUMPRODUCT($E85:$M85,$N85:$V85)</f>
        <v>0</v>
      </c>
      <c r="AG85" s="1" t="n">
        <f aca="false">SUMPRODUCT(--(($E85:$M85+$N85:$V85)&gt;0))</f>
        <v>0</v>
      </c>
      <c r="AH85" s="1" t="str">
        <f aca="false">IF(AND($B85=1,$C85=1),IF($AG85=0,1,$AF85/$AG85),"")</f>
        <v/>
      </c>
      <c r="AI85" s="1" t="str">
        <f aca="false">IF(AND($B85=1,$C85=1),IF(coding!$I85=coding!$J85,1,0),"")</f>
        <v/>
      </c>
      <c r="AJ85" s="1" t="str">
        <f aca="false">IF($B85=1,IF(SUMPRODUCT(--(($E85:$M85+$W85:$AE85)&gt;0))=0,1,SUMPRODUCT($E85:$M85,$W85:$AE85)/SUMPRODUCT(--(($E85:$M85+$W85:$AE85)&gt;0))),"")</f>
        <v/>
      </c>
      <c r="AK85" s="1" t="str">
        <f aca="false">IF($C85=1,IF(SUMPRODUCT(--(($N85:$V85+$W85:$AE85)&gt;0))=0,1,SUMPRODUCT($N85:$V85,$W85:$AE85)/SUMPRODUCT(--(($N85:$V85+$W85:$AE85)&gt;0))),"")</f>
        <v/>
      </c>
    </row>
    <row r="86" customFormat="false" ht="15" hidden="false" customHeight="true" outlineLevel="0" collapsed="false">
      <c r="A86" s="1" t="str">
        <f aca="false">coding!$A86</f>
        <v>P085</v>
      </c>
      <c r="B86" s="1" t="n">
        <f aca="false">IF(coding!$I86="",0,1)</f>
        <v>0</v>
      </c>
      <c r="C86" s="1" t="n">
        <f aca="false">IF(coding!$J86="",0,1)</f>
        <v>0</v>
      </c>
      <c r="D86" s="1" t="n">
        <f aca="false">IF(coding!$O86="",0,1)</f>
        <v>1</v>
      </c>
      <c r="E86" s="1" t="n">
        <f aca="false">IF(coding!$I86="",0,IF(ISNUMBER(SEARCH("T1",coding!$I86)),1,0))</f>
        <v>0</v>
      </c>
      <c r="F86" s="1" t="n">
        <f aca="false">IF(coding!$I86="",0,IF(ISNUMBER(SEARCH("T2",coding!$I86)),1,0))</f>
        <v>0</v>
      </c>
      <c r="G86" s="1" t="n">
        <f aca="false">IF(coding!$I86="",0,IF(ISNUMBER(SEARCH("T3",coding!$I86)),1,0))</f>
        <v>0</v>
      </c>
      <c r="H86" s="1" t="n">
        <f aca="false">IF(coding!$I86="",0,IF(ISNUMBER(SEARCH("T4",coding!$I86)),1,0))</f>
        <v>0</v>
      </c>
      <c r="I86" s="1" t="n">
        <f aca="false">IF(coding!$I86="",0,IF(ISNUMBER(SEARCH("T5",coding!$I86)),1,0))</f>
        <v>0</v>
      </c>
      <c r="J86" s="1" t="n">
        <f aca="false">IF(coding!$I86="",0,IF(ISNUMBER(SEARCH("T6",coding!$I86)),1,0))</f>
        <v>0</v>
      </c>
      <c r="K86" s="1" t="n">
        <f aca="false">IF(coding!$I86="",0,IF(ISNUMBER(SEARCH("T7",coding!$I86)),1,0))</f>
        <v>0</v>
      </c>
      <c r="L86" s="1" t="n">
        <f aca="false">IF(coding!$I86="",0,IF(ISNUMBER(SEARCH("T8",coding!$I86)),1,0))</f>
        <v>0</v>
      </c>
      <c r="M86" s="1" t="n">
        <f aca="false">IF(coding!$I86="",0,IF(ISNUMBER(SEARCH("T9",coding!$I86)),1,0))</f>
        <v>0</v>
      </c>
      <c r="N86" s="1" t="n">
        <f aca="false">IF(coding!$J86="",0,IF(ISNUMBER(SEARCH("T1",coding!$J86)),1,0))</f>
        <v>0</v>
      </c>
      <c r="O86" s="1" t="n">
        <f aca="false">IF(coding!$J86="",0,IF(ISNUMBER(SEARCH("T2",coding!$J86)),1,0))</f>
        <v>0</v>
      </c>
      <c r="P86" s="1" t="n">
        <f aca="false">IF(coding!$J86="",0,IF(ISNUMBER(SEARCH("T3",coding!$J86)),1,0))</f>
        <v>0</v>
      </c>
      <c r="Q86" s="1" t="n">
        <f aca="false">IF(coding!$J86="",0,IF(ISNUMBER(SEARCH("T4",coding!$J86)),1,0))</f>
        <v>0</v>
      </c>
      <c r="R86" s="1" t="n">
        <f aca="false">IF(coding!$J86="",0,IF(ISNUMBER(SEARCH("T5",coding!$J86)),1,0))</f>
        <v>0</v>
      </c>
      <c r="S86" s="1" t="n">
        <f aca="false">IF(coding!$J86="",0,IF(ISNUMBER(SEARCH("T6",coding!$J86)),1,0))</f>
        <v>0</v>
      </c>
      <c r="T86" s="1" t="n">
        <f aca="false">IF(coding!$J86="",0,IF(ISNUMBER(SEARCH("T7",coding!$J86)),1,0))</f>
        <v>0</v>
      </c>
      <c r="U86" s="1" t="n">
        <f aca="false">IF(coding!$J86="",0,IF(ISNUMBER(SEARCH("T8",coding!$J86)),1,0))</f>
        <v>0</v>
      </c>
      <c r="V86" s="1" t="n">
        <f aca="false">IF(coding!$J86="",0,IF(ISNUMBER(SEARCH("T9",coding!$J86)),1,0))</f>
        <v>0</v>
      </c>
      <c r="W86" s="1" t="n">
        <f aca="false">IF(coding!$O86="",0,IF(ISNUMBER(SEARCH("T1",coding!$O86)),1,0))</f>
        <v>1</v>
      </c>
      <c r="X86" s="1" t="n">
        <f aca="false">IF(coding!$O86="",0,IF(ISNUMBER(SEARCH("T2",coding!$O86)),1,0))</f>
        <v>0</v>
      </c>
      <c r="Y86" s="1" t="n">
        <f aca="false">IF(coding!$O86="",0,IF(ISNUMBER(SEARCH("T3",coding!$O86)),1,0))</f>
        <v>0</v>
      </c>
      <c r="Z86" s="1" t="n">
        <f aca="false">IF(coding!$O86="",0,IF(ISNUMBER(SEARCH("T4",coding!$O86)),1,0))</f>
        <v>0</v>
      </c>
      <c r="AA86" s="1" t="n">
        <f aca="false">IF(coding!$O86="",0,IF(ISNUMBER(SEARCH("T5",coding!$O86)),1,0))</f>
        <v>0</v>
      </c>
      <c r="AB86" s="1" t="n">
        <f aca="false">IF(coding!$O86="",0,IF(ISNUMBER(SEARCH("T6",coding!$O86)),1,0))</f>
        <v>0</v>
      </c>
      <c r="AC86" s="1" t="n">
        <f aca="false">IF(coding!$O86="",0,IF(ISNUMBER(SEARCH("T7",coding!$O86)),1,0))</f>
        <v>0</v>
      </c>
      <c r="AD86" s="1" t="n">
        <f aca="false">IF(coding!$O86="",0,IF(ISNUMBER(SEARCH("T8",coding!$O86)),1,0))</f>
        <v>0</v>
      </c>
      <c r="AE86" s="1" t="n">
        <f aca="false">IF(coding!$O86="",0,IF(ISNUMBER(SEARCH("T9",coding!$O86)),1,0))</f>
        <v>0</v>
      </c>
      <c r="AF86" s="1" t="n">
        <f aca="false">SUMPRODUCT($E86:$M86,$N86:$V86)</f>
        <v>0</v>
      </c>
      <c r="AG86" s="1" t="n">
        <f aca="false">SUMPRODUCT(--(($E86:$M86+$N86:$V86)&gt;0))</f>
        <v>0</v>
      </c>
      <c r="AH86" s="1" t="str">
        <f aca="false">IF(AND($B86=1,$C86=1),IF($AG86=0,1,$AF86/$AG86),"")</f>
        <v/>
      </c>
      <c r="AI86" s="1" t="str">
        <f aca="false">IF(AND($B86=1,$C86=1),IF(coding!$I86=coding!$J86,1,0),"")</f>
        <v/>
      </c>
      <c r="AJ86" s="1" t="str">
        <f aca="false">IF($B86=1,IF(SUMPRODUCT(--(($E86:$M86+$W86:$AE86)&gt;0))=0,1,SUMPRODUCT($E86:$M86,$W86:$AE86)/SUMPRODUCT(--(($E86:$M86+$W86:$AE86)&gt;0))),"")</f>
        <v/>
      </c>
      <c r="AK86" s="1" t="str">
        <f aca="false">IF($C86=1,IF(SUMPRODUCT(--(($N86:$V86+$W86:$AE86)&gt;0))=0,1,SUMPRODUCT($N86:$V86,$W86:$AE86)/SUMPRODUCT(--(($N86:$V86+$W86:$AE86)&gt;0))),"")</f>
        <v/>
      </c>
    </row>
    <row r="87" customFormat="false" ht="15" hidden="false" customHeight="true" outlineLevel="0" collapsed="false">
      <c r="A87" s="1" t="str">
        <f aca="false">coding!$A87</f>
        <v>P086</v>
      </c>
      <c r="B87" s="1" t="n">
        <f aca="false">IF(coding!$I87="",0,1)</f>
        <v>0</v>
      </c>
      <c r="C87" s="1" t="n">
        <f aca="false">IF(coding!$J87="",0,1)</f>
        <v>0</v>
      </c>
      <c r="D87" s="1" t="n">
        <f aca="false">IF(coding!$O87="",0,1)</f>
        <v>1</v>
      </c>
      <c r="E87" s="1" t="n">
        <f aca="false">IF(coding!$I87="",0,IF(ISNUMBER(SEARCH("T1",coding!$I87)),1,0))</f>
        <v>0</v>
      </c>
      <c r="F87" s="1" t="n">
        <f aca="false">IF(coding!$I87="",0,IF(ISNUMBER(SEARCH("T2",coding!$I87)),1,0))</f>
        <v>0</v>
      </c>
      <c r="G87" s="1" t="n">
        <f aca="false">IF(coding!$I87="",0,IF(ISNUMBER(SEARCH("T3",coding!$I87)),1,0))</f>
        <v>0</v>
      </c>
      <c r="H87" s="1" t="n">
        <f aca="false">IF(coding!$I87="",0,IF(ISNUMBER(SEARCH("T4",coding!$I87)),1,0))</f>
        <v>0</v>
      </c>
      <c r="I87" s="1" t="n">
        <f aca="false">IF(coding!$I87="",0,IF(ISNUMBER(SEARCH("T5",coding!$I87)),1,0))</f>
        <v>0</v>
      </c>
      <c r="J87" s="1" t="n">
        <f aca="false">IF(coding!$I87="",0,IF(ISNUMBER(SEARCH("T6",coding!$I87)),1,0))</f>
        <v>0</v>
      </c>
      <c r="K87" s="1" t="n">
        <f aca="false">IF(coding!$I87="",0,IF(ISNUMBER(SEARCH("T7",coding!$I87)),1,0))</f>
        <v>0</v>
      </c>
      <c r="L87" s="1" t="n">
        <f aca="false">IF(coding!$I87="",0,IF(ISNUMBER(SEARCH("T8",coding!$I87)),1,0))</f>
        <v>0</v>
      </c>
      <c r="M87" s="1" t="n">
        <f aca="false">IF(coding!$I87="",0,IF(ISNUMBER(SEARCH("T9",coding!$I87)),1,0))</f>
        <v>0</v>
      </c>
      <c r="N87" s="1" t="n">
        <f aca="false">IF(coding!$J87="",0,IF(ISNUMBER(SEARCH("T1",coding!$J87)),1,0))</f>
        <v>0</v>
      </c>
      <c r="O87" s="1" t="n">
        <f aca="false">IF(coding!$J87="",0,IF(ISNUMBER(SEARCH("T2",coding!$J87)),1,0))</f>
        <v>0</v>
      </c>
      <c r="P87" s="1" t="n">
        <f aca="false">IF(coding!$J87="",0,IF(ISNUMBER(SEARCH("T3",coding!$J87)),1,0))</f>
        <v>0</v>
      </c>
      <c r="Q87" s="1" t="n">
        <f aca="false">IF(coding!$J87="",0,IF(ISNUMBER(SEARCH("T4",coding!$J87)),1,0))</f>
        <v>0</v>
      </c>
      <c r="R87" s="1" t="n">
        <f aca="false">IF(coding!$J87="",0,IF(ISNUMBER(SEARCH("T5",coding!$J87)),1,0))</f>
        <v>0</v>
      </c>
      <c r="S87" s="1" t="n">
        <f aca="false">IF(coding!$J87="",0,IF(ISNUMBER(SEARCH("T6",coding!$J87)),1,0))</f>
        <v>0</v>
      </c>
      <c r="T87" s="1" t="n">
        <f aca="false">IF(coding!$J87="",0,IF(ISNUMBER(SEARCH("T7",coding!$J87)),1,0))</f>
        <v>0</v>
      </c>
      <c r="U87" s="1" t="n">
        <f aca="false">IF(coding!$J87="",0,IF(ISNUMBER(SEARCH("T8",coding!$J87)),1,0))</f>
        <v>0</v>
      </c>
      <c r="V87" s="1" t="n">
        <f aca="false">IF(coding!$J87="",0,IF(ISNUMBER(SEARCH("T9",coding!$J87)),1,0))</f>
        <v>0</v>
      </c>
      <c r="W87" s="1" t="n">
        <f aca="false">IF(coding!$O87="",0,IF(ISNUMBER(SEARCH("T1",coding!$O87)),1,0))</f>
        <v>1</v>
      </c>
      <c r="X87" s="1" t="n">
        <f aca="false">IF(coding!$O87="",0,IF(ISNUMBER(SEARCH("T2",coding!$O87)),1,0))</f>
        <v>1</v>
      </c>
      <c r="Y87" s="1" t="n">
        <f aca="false">IF(coding!$O87="",0,IF(ISNUMBER(SEARCH("T3",coding!$O87)),1,0))</f>
        <v>0</v>
      </c>
      <c r="Z87" s="1" t="n">
        <f aca="false">IF(coding!$O87="",0,IF(ISNUMBER(SEARCH("T4",coding!$O87)),1,0))</f>
        <v>0</v>
      </c>
      <c r="AA87" s="1" t="n">
        <f aca="false">IF(coding!$O87="",0,IF(ISNUMBER(SEARCH("T5",coding!$O87)),1,0))</f>
        <v>0</v>
      </c>
      <c r="AB87" s="1" t="n">
        <f aca="false">IF(coding!$O87="",0,IF(ISNUMBER(SEARCH("T6",coding!$O87)),1,0))</f>
        <v>0</v>
      </c>
      <c r="AC87" s="1" t="n">
        <f aca="false">IF(coding!$O87="",0,IF(ISNUMBER(SEARCH("T7",coding!$O87)),1,0))</f>
        <v>0</v>
      </c>
      <c r="AD87" s="1" t="n">
        <f aca="false">IF(coding!$O87="",0,IF(ISNUMBER(SEARCH("T8",coding!$O87)),1,0))</f>
        <v>0</v>
      </c>
      <c r="AE87" s="1" t="n">
        <f aca="false">IF(coding!$O87="",0,IF(ISNUMBER(SEARCH("T9",coding!$O87)),1,0))</f>
        <v>0</v>
      </c>
      <c r="AF87" s="1" t="n">
        <f aca="false">SUMPRODUCT($E87:$M87,$N87:$V87)</f>
        <v>0</v>
      </c>
      <c r="AG87" s="1" t="n">
        <f aca="false">SUMPRODUCT(--(($E87:$M87+$N87:$V87)&gt;0))</f>
        <v>0</v>
      </c>
      <c r="AH87" s="1" t="str">
        <f aca="false">IF(AND($B87=1,$C87=1),IF($AG87=0,1,$AF87/$AG87),"")</f>
        <v/>
      </c>
      <c r="AI87" s="1" t="str">
        <f aca="false">IF(AND($B87=1,$C87=1),IF(coding!$I87=coding!$J87,1,0),"")</f>
        <v/>
      </c>
      <c r="AJ87" s="1" t="str">
        <f aca="false">IF($B87=1,IF(SUMPRODUCT(--(($E87:$M87+$W87:$AE87)&gt;0))=0,1,SUMPRODUCT($E87:$M87,$W87:$AE87)/SUMPRODUCT(--(($E87:$M87+$W87:$AE87)&gt;0))),"")</f>
        <v/>
      </c>
      <c r="AK87" s="1" t="str">
        <f aca="false">IF($C87=1,IF(SUMPRODUCT(--(($N87:$V87+$W87:$AE87)&gt;0))=0,1,SUMPRODUCT($N87:$V87,$W87:$AE87)/SUMPRODUCT(--(($N87:$V87+$W87:$AE87)&gt;0))),"")</f>
        <v/>
      </c>
    </row>
    <row r="88" customFormat="false" ht="15" hidden="false" customHeight="true" outlineLevel="0" collapsed="false">
      <c r="A88" s="1" t="str">
        <f aca="false">coding!$A88</f>
        <v>P087</v>
      </c>
      <c r="B88" s="1" t="n">
        <f aca="false">IF(coding!$I88="",0,1)</f>
        <v>0</v>
      </c>
      <c r="C88" s="1" t="n">
        <f aca="false">IF(coding!$J88="",0,1)</f>
        <v>0</v>
      </c>
      <c r="D88" s="1" t="n">
        <f aca="false">IF(coding!$O88="",0,1)</f>
        <v>1</v>
      </c>
      <c r="E88" s="1" t="n">
        <f aca="false">IF(coding!$I88="",0,IF(ISNUMBER(SEARCH("T1",coding!$I88)),1,0))</f>
        <v>0</v>
      </c>
      <c r="F88" s="1" t="n">
        <f aca="false">IF(coding!$I88="",0,IF(ISNUMBER(SEARCH("T2",coding!$I88)),1,0))</f>
        <v>0</v>
      </c>
      <c r="G88" s="1" t="n">
        <f aca="false">IF(coding!$I88="",0,IF(ISNUMBER(SEARCH("T3",coding!$I88)),1,0))</f>
        <v>0</v>
      </c>
      <c r="H88" s="1" t="n">
        <f aca="false">IF(coding!$I88="",0,IF(ISNUMBER(SEARCH("T4",coding!$I88)),1,0))</f>
        <v>0</v>
      </c>
      <c r="I88" s="1" t="n">
        <f aca="false">IF(coding!$I88="",0,IF(ISNUMBER(SEARCH("T5",coding!$I88)),1,0))</f>
        <v>0</v>
      </c>
      <c r="J88" s="1" t="n">
        <f aca="false">IF(coding!$I88="",0,IF(ISNUMBER(SEARCH("T6",coding!$I88)),1,0))</f>
        <v>0</v>
      </c>
      <c r="K88" s="1" t="n">
        <f aca="false">IF(coding!$I88="",0,IF(ISNUMBER(SEARCH("T7",coding!$I88)),1,0))</f>
        <v>0</v>
      </c>
      <c r="L88" s="1" t="n">
        <f aca="false">IF(coding!$I88="",0,IF(ISNUMBER(SEARCH("T8",coding!$I88)),1,0))</f>
        <v>0</v>
      </c>
      <c r="M88" s="1" t="n">
        <f aca="false">IF(coding!$I88="",0,IF(ISNUMBER(SEARCH("T9",coding!$I88)),1,0))</f>
        <v>0</v>
      </c>
      <c r="N88" s="1" t="n">
        <f aca="false">IF(coding!$J88="",0,IF(ISNUMBER(SEARCH("T1",coding!$J88)),1,0))</f>
        <v>0</v>
      </c>
      <c r="O88" s="1" t="n">
        <f aca="false">IF(coding!$J88="",0,IF(ISNUMBER(SEARCH("T2",coding!$J88)),1,0))</f>
        <v>0</v>
      </c>
      <c r="P88" s="1" t="n">
        <f aca="false">IF(coding!$J88="",0,IF(ISNUMBER(SEARCH("T3",coding!$J88)),1,0))</f>
        <v>0</v>
      </c>
      <c r="Q88" s="1" t="n">
        <f aca="false">IF(coding!$J88="",0,IF(ISNUMBER(SEARCH("T4",coding!$J88)),1,0))</f>
        <v>0</v>
      </c>
      <c r="R88" s="1" t="n">
        <f aca="false">IF(coding!$J88="",0,IF(ISNUMBER(SEARCH("T5",coding!$J88)),1,0))</f>
        <v>0</v>
      </c>
      <c r="S88" s="1" t="n">
        <f aca="false">IF(coding!$J88="",0,IF(ISNUMBER(SEARCH("T6",coding!$J88)),1,0))</f>
        <v>0</v>
      </c>
      <c r="T88" s="1" t="n">
        <f aca="false">IF(coding!$J88="",0,IF(ISNUMBER(SEARCH("T7",coding!$J88)),1,0))</f>
        <v>0</v>
      </c>
      <c r="U88" s="1" t="n">
        <f aca="false">IF(coding!$J88="",0,IF(ISNUMBER(SEARCH("T8",coding!$J88)),1,0))</f>
        <v>0</v>
      </c>
      <c r="V88" s="1" t="n">
        <f aca="false">IF(coding!$J88="",0,IF(ISNUMBER(SEARCH("T9",coding!$J88)),1,0))</f>
        <v>0</v>
      </c>
      <c r="W88" s="1" t="n">
        <f aca="false">IF(coding!$O88="",0,IF(ISNUMBER(SEARCH("T1",coding!$O88)),1,0))</f>
        <v>1</v>
      </c>
      <c r="X88" s="1" t="n">
        <f aca="false">IF(coding!$O88="",0,IF(ISNUMBER(SEARCH("T2",coding!$O88)),1,0))</f>
        <v>1</v>
      </c>
      <c r="Y88" s="1" t="n">
        <f aca="false">IF(coding!$O88="",0,IF(ISNUMBER(SEARCH("T3",coding!$O88)),1,0))</f>
        <v>0</v>
      </c>
      <c r="Z88" s="1" t="n">
        <f aca="false">IF(coding!$O88="",0,IF(ISNUMBER(SEARCH("T4",coding!$O88)),1,0))</f>
        <v>1</v>
      </c>
      <c r="AA88" s="1" t="n">
        <f aca="false">IF(coding!$O88="",0,IF(ISNUMBER(SEARCH("T5",coding!$O88)),1,0))</f>
        <v>0</v>
      </c>
      <c r="AB88" s="1" t="n">
        <f aca="false">IF(coding!$O88="",0,IF(ISNUMBER(SEARCH("T6",coding!$O88)),1,0))</f>
        <v>0</v>
      </c>
      <c r="AC88" s="1" t="n">
        <f aca="false">IF(coding!$O88="",0,IF(ISNUMBER(SEARCH("T7",coding!$O88)),1,0))</f>
        <v>0</v>
      </c>
      <c r="AD88" s="1" t="n">
        <f aca="false">IF(coding!$O88="",0,IF(ISNUMBER(SEARCH("T8",coding!$O88)),1,0))</f>
        <v>0</v>
      </c>
      <c r="AE88" s="1" t="n">
        <f aca="false">IF(coding!$O88="",0,IF(ISNUMBER(SEARCH("T9",coding!$O88)),1,0))</f>
        <v>0</v>
      </c>
      <c r="AF88" s="1" t="n">
        <f aca="false">SUMPRODUCT($E88:$M88,$N88:$V88)</f>
        <v>0</v>
      </c>
      <c r="AG88" s="1" t="n">
        <f aca="false">SUMPRODUCT(--(($E88:$M88+$N88:$V88)&gt;0))</f>
        <v>0</v>
      </c>
      <c r="AH88" s="1" t="str">
        <f aca="false">IF(AND($B88=1,$C88=1),IF($AG88=0,1,$AF88/$AG88),"")</f>
        <v/>
      </c>
      <c r="AI88" s="1" t="str">
        <f aca="false">IF(AND($B88=1,$C88=1),IF(coding!$I88=coding!$J88,1,0),"")</f>
        <v/>
      </c>
      <c r="AJ88" s="1" t="str">
        <f aca="false">IF($B88=1,IF(SUMPRODUCT(--(($E88:$M88+$W88:$AE88)&gt;0))=0,1,SUMPRODUCT($E88:$M88,$W88:$AE88)/SUMPRODUCT(--(($E88:$M88+$W88:$AE88)&gt;0))),"")</f>
        <v/>
      </c>
      <c r="AK88" s="1" t="str">
        <f aca="false">IF($C88=1,IF(SUMPRODUCT(--(($N88:$V88+$W88:$AE88)&gt;0))=0,1,SUMPRODUCT($N88:$V88,$W88:$AE88)/SUMPRODUCT(--(($N88:$V88+$W88:$AE88)&gt;0))),"")</f>
        <v/>
      </c>
    </row>
    <row r="89" customFormat="false" ht="15" hidden="false" customHeight="true" outlineLevel="0" collapsed="false">
      <c r="A89" s="1" t="str">
        <f aca="false">coding!$A89</f>
        <v>P088</v>
      </c>
      <c r="B89" s="1" t="n">
        <f aca="false">IF(coding!$I89="",0,1)</f>
        <v>0</v>
      </c>
      <c r="C89" s="1" t="n">
        <f aca="false">IF(coding!$J89="",0,1)</f>
        <v>0</v>
      </c>
      <c r="D89" s="1" t="n">
        <f aca="false">IF(coding!$O89="",0,1)</f>
        <v>1</v>
      </c>
      <c r="E89" s="1" t="n">
        <f aca="false">IF(coding!$I89="",0,IF(ISNUMBER(SEARCH("T1",coding!$I89)),1,0))</f>
        <v>0</v>
      </c>
      <c r="F89" s="1" t="n">
        <f aca="false">IF(coding!$I89="",0,IF(ISNUMBER(SEARCH("T2",coding!$I89)),1,0))</f>
        <v>0</v>
      </c>
      <c r="G89" s="1" t="n">
        <f aca="false">IF(coding!$I89="",0,IF(ISNUMBER(SEARCH("T3",coding!$I89)),1,0))</f>
        <v>0</v>
      </c>
      <c r="H89" s="1" t="n">
        <f aca="false">IF(coding!$I89="",0,IF(ISNUMBER(SEARCH("T4",coding!$I89)),1,0))</f>
        <v>0</v>
      </c>
      <c r="I89" s="1" t="n">
        <f aca="false">IF(coding!$I89="",0,IF(ISNUMBER(SEARCH("T5",coding!$I89)),1,0))</f>
        <v>0</v>
      </c>
      <c r="J89" s="1" t="n">
        <f aca="false">IF(coding!$I89="",0,IF(ISNUMBER(SEARCH("T6",coding!$I89)),1,0))</f>
        <v>0</v>
      </c>
      <c r="K89" s="1" t="n">
        <f aca="false">IF(coding!$I89="",0,IF(ISNUMBER(SEARCH("T7",coding!$I89)),1,0))</f>
        <v>0</v>
      </c>
      <c r="L89" s="1" t="n">
        <f aca="false">IF(coding!$I89="",0,IF(ISNUMBER(SEARCH("T8",coding!$I89)),1,0))</f>
        <v>0</v>
      </c>
      <c r="M89" s="1" t="n">
        <f aca="false">IF(coding!$I89="",0,IF(ISNUMBER(SEARCH("T9",coding!$I89)),1,0))</f>
        <v>0</v>
      </c>
      <c r="N89" s="1" t="n">
        <f aca="false">IF(coding!$J89="",0,IF(ISNUMBER(SEARCH("T1",coding!$J89)),1,0))</f>
        <v>0</v>
      </c>
      <c r="O89" s="1" t="n">
        <f aca="false">IF(coding!$J89="",0,IF(ISNUMBER(SEARCH("T2",coding!$J89)),1,0))</f>
        <v>0</v>
      </c>
      <c r="P89" s="1" t="n">
        <f aca="false">IF(coding!$J89="",0,IF(ISNUMBER(SEARCH("T3",coding!$J89)),1,0))</f>
        <v>0</v>
      </c>
      <c r="Q89" s="1" t="n">
        <f aca="false">IF(coding!$J89="",0,IF(ISNUMBER(SEARCH("T4",coding!$J89)),1,0))</f>
        <v>0</v>
      </c>
      <c r="R89" s="1" t="n">
        <f aca="false">IF(coding!$J89="",0,IF(ISNUMBER(SEARCH("T5",coding!$J89)),1,0))</f>
        <v>0</v>
      </c>
      <c r="S89" s="1" t="n">
        <f aca="false">IF(coding!$J89="",0,IF(ISNUMBER(SEARCH("T6",coding!$J89)),1,0))</f>
        <v>0</v>
      </c>
      <c r="T89" s="1" t="n">
        <f aca="false">IF(coding!$J89="",0,IF(ISNUMBER(SEARCH("T7",coding!$J89)),1,0))</f>
        <v>0</v>
      </c>
      <c r="U89" s="1" t="n">
        <f aca="false">IF(coding!$J89="",0,IF(ISNUMBER(SEARCH("T8",coding!$J89)),1,0))</f>
        <v>0</v>
      </c>
      <c r="V89" s="1" t="n">
        <f aca="false">IF(coding!$J89="",0,IF(ISNUMBER(SEARCH("T9",coding!$J89)),1,0))</f>
        <v>0</v>
      </c>
      <c r="W89" s="1" t="n">
        <f aca="false">IF(coding!$O89="",0,IF(ISNUMBER(SEARCH("T1",coding!$O89)),1,0))</f>
        <v>0</v>
      </c>
      <c r="X89" s="1" t="n">
        <f aca="false">IF(coding!$O89="",0,IF(ISNUMBER(SEARCH("T2",coding!$O89)),1,0))</f>
        <v>0</v>
      </c>
      <c r="Y89" s="1" t="n">
        <f aca="false">IF(coding!$O89="",0,IF(ISNUMBER(SEARCH("T3",coding!$O89)),1,0))</f>
        <v>0</v>
      </c>
      <c r="Z89" s="1" t="n">
        <f aca="false">IF(coding!$O89="",0,IF(ISNUMBER(SEARCH("T4",coding!$O89)),1,0))</f>
        <v>0</v>
      </c>
      <c r="AA89" s="1" t="n">
        <f aca="false">IF(coding!$O89="",0,IF(ISNUMBER(SEARCH("T5",coding!$O89)),1,0))</f>
        <v>1</v>
      </c>
      <c r="AB89" s="1" t="n">
        <f aca="false">IF(coding!$O89="",0,IF(ISNUMBER(SEARCH("T6",coding!$O89)),1,0))</f>
        <v>0</v>
      </c>
      <c r="AC89" s="1" t="n">
        <f aca="false">IF(coding!$O89="",0,IF(ISNUMBER(SEARCH("T7",coding!$O89)),1,0))</f>
        <v>0</v>
      </c>
      <c r="AD89" s="1" t="n">
        <f aca="false">IF(coding!$O89="",0,IF(ISNUMBER(SEARCH("T8",coding!$O89)),1,0))</f>
        <v>0</v>
      </c>
      <c r="AE89" s="1" t="n">
        <f aca="false">IF(coding!$O89="",0,IF(ISNUMBER(SEARCH("T9",coding!$O89)),1,0))</f>
        <v>0</v>
      </c>
      <c r="AF89" s="1" t="n">
        <f aca="false">SUMPRODUCT($E89:$M89,$N89:$V89)</f>
        <v>0</v>
      </c>
      <c r="AG89" s="1" t="n">
        <f aca="false">SUMPRODUCT(--(($E89:$M89+$N89:$V89)&gt;0))</f>
        <v>0</v>
      </c>
      <c r="AH89" s="1" t="str">
        <f aca="false">IF(AND($B89=1,$C89=1),IF($AG89=0,1,$AF89/$AG89),"")</f>
        <v/>
      </c>
      <c r="AI89" s="1" t="str">
        <f aca="false">IF(AND($B89=1,$C89=1),IF(coding!$I89=coding!$J89,1,0),"")</f>
        <v/>
      </c>
      <c r="AJ89" s="1" t="str">
        <f aca="false">IF($B89=1,IF(SUMPRODUCT(--(($E89:$M89+$W89:$AE89)&gt;0))=0,1,SUMPRODUCT($E89:$M89,$W89:$AE89)/SUMPRODUCT(--(($E89:$M89+$W89:$AE89)&gt;0))),"")</f>
        <v/>
      </c>
      <c r="AK89" s="1" t="str">
        <f aca="false">IF($C89=1,IF(SUMPRODUCT(--(($N89:$V89+$W89:$AE89)&gt;0))=0,1,SUMPRODUCT($N89:$V89,$W89:$AE89)/SUMPRODUCT(--(($N89:$V89+$W89:$AE89)&gt;0))),"")</f>
        <v/>
      </c>
    </row>
    <row r="90" customFormat="false" ht="15" hidden="false" customHeight="true" outlineLevel="0" collapsed="false">
      <c r="A90" s="1" t="str">
        <f aca="false">coding!$A90</f>
        <v>P089</v>
      </c>
      <c r="B90" s="1" t="n">
        <f aca="false">IF(coding!$I90="",0,1)</f>
        <v>0</v>
      </c>
      <c r="C90" s="1" t="n">
        <f aca="false">IF(coding!$J90="",0,1)</f>
        <v>0</v>
      </c>
      <c r="D90" s="1" t="n">
        <f aca="false">IF(coding!$O90="",0,1)</f>
        <v>1</v>
      </c>
      <c r="E90" s="1" t="n">
        <f aca="false">IF(coding!$I90="",0,IF(ISNUMBER(SEARCH("T1",coding!$I90)),1,0))</f>
        <v>0</v>
      </c>
      <c r="F90" s="1" t="n">
        <f aca="false">IF(coding!$I90="",0,IF(ISNUMBER(SEARCH("T2",coding!$I90)),1,0))</f>
        <v>0</v>
      </c>
      <c r="G90" s="1" t="n">
        <f aca="false">IF(coding!$I90="",0,IF(ISNUMBER(SEARCH("T3",coding!$I90)),1,0))</f>
        <v>0</v>
      </c>
      <c r="H90" s="1" t="n">
        <f aca="false">IF(coding!$I90="",0,IF(ISNUMBER(SEARCH("T4",coding!$I90)),1,0))</f>
        <v>0</v>
      </c>
      <c r="I90" s="1" t="n">
        <f aca="false">IF(coding!$I90="",0,IF(ISNUMBER(SEARCH("T5",coding!$I90)),1,0))</f>
        <v>0</v>
      </c>
      <c r="J90" s="1" t="n">
        <f aca="false">IF(coding!$I90="",0,IF(ISNUMBER(SEARCH("T6",coding!$I90)),1,0))</f>
        <v>0</v>
      </c>
      <c r="K90" s="1" t="n">
        <f aca="false">IF(coding!$I90="",0,IF(ISNUMBER(SEARCH("T7",coding!$I90)),1,0))</f>
        <v>0</v>
      </c>
      <c r="L90" s="1" t="n">
        <f aca="false">IF(coding!$I90="",0,IF(ISNUMBER(SEARCH("T8",coding!$I90)),1,0))</f>
        <v>0</v>
      </c>
      <c r="M90" s="1" t="n">
        <f aca="false">IF(coding!$I90="",0,IF(ISNUMBER(SEARCH("T9",coding!$I90)),1,0))</f>
        <v>0</v>
      </c>
      <c r="N90" s="1" t="n">
        <f aca="false">IF(coding!$J90="",0,IF(ISNUMBER(SEARCH("T1",coding!$J90)),1,0))</f>
        <v>0</v>
      </c>
      <c r="O90" s="1" t="n">
        <f aca="false">IF(coding!$J90="",0,IF(ISNUMBER(SEARCH("T2",coding!$J90)),1,0))</f>
        <v>0</v>
      </c>
      <c r="P90" s="1" t="n">
        <f aca="false">IF(coding!$J90="",0,IF(ISNUMBER(SEARCH("T3",coding!$J90)),1,0))</f>
        <v>0</v>
      </c>
      <c r="Q90" s="1" t="n">
        <f aca="false">IF(coding!$J90="",0,IF(ISNUMBER(SEARCH("T4",coding!$J90)),1,0))</f>
        <v>0</v>
      </c>
      <c r="R90" s="1" t="n">
        <f aca="false">IF(coding!$J90="",0,IF(ISNUMBER(SEARCH("T5",coding!$J90)),1,0))</f>
        <v>0</v>
      </c>
      <c r="S90" s="1" t="n">
        <f aca="false">IF(coding!$J90="",0,IF(ISNUMBER(SEARCH("T6",coding!$J90)),1,0))</f>
        <v>0</v>
      </c>
      <c r="T90" s="1" t="n">
        <f aca="false">IF(coding!$J90="",0,IF(ISNUMBER(SEARCH("T7",coding!$J90)),1,0))</f>
        <v>0</v>
      </c>
      <c r="U90" s="1" t="n">
        <f aca="false">IF(coding!$J90="",0,IF(ISNUMBER(SEARCH("T8",coding!$J90)),1,0))</f>
        <v>0</v>
      </c>
      <c r="V90" s="1" t="n">
        <f aca="false">IF(coding!$J90="",0,IF(ISNUMBER(SEARCH("T9",coding!$J90)),1,0))</f>
        <v>0</v>
      </c>
      <c r="W90" s="1" t="n">
        <f aca="false">IF(coding!$O90="",0,IF(ISNUMBER(SEARCH("T1",coding!$O90)),1,0))</f>
        <v>1</v>
      </c>
      <c r="X90" s="1" t="n">
        <f aca="false">IF(coding!$O90="",0,IF(ISNUMBER(SEARCH("T2",coding!$O90)),1,0))</f>
        <v>1</v>
      </c>
      <c r="Y90" s="1" t="n">
        <f aca="false">IF(coding!$O90="",0,IF(ISNUMBER(SEARCH("T3",coding!$O90)),1,0))</f>
        <v>0</v>
      </c>
      <c r="Z90" s="1" t="n">
        <f aca="false">IF(coding!$O90="",0,IF(ISNUMBER(SEARCH("T4",coding!$O90)),1,0))</f>
        <v>0</v>
      </c>
      <c r="AA90" s="1" t="n">
        <f aca="false">IF(coding!$O90="",0,IF(ISNUMBER(SEARCH("T5",coding!$O90)),1,0))</f>
        <v>0</v>
      </c>
      <c r="AB90" s="1" t="n">
        <f aca="false">IF(coding!$O90="",0,IF(ISNUMBER(SEARCH("T6",coding!$O90)),1,0))</f>
        <v>0</v>
      </c>
      <c r="AC90" s="1" t="n">
        <f aca="false">IF(coding!$O90="",0,IF(ISNUMBER(SEARCH("T7",coding!$O90)),1,0))</f>
        <v>0</v>
      </c>
      <c r="AD90" s="1" t="n">
        <f aca="false">IF(coding!$O90="",0,IF(ISNUMBER(SEARCH("T8",coding!$O90)),1,0))</f>
        <v>0</v>
      </c>
      <c r="AE90" s="1" t="n">
        <f aca="false">IF(coding!$O90="",0,IF(ISNUMBER(SEARCH("T9",coding!$O90)),1,0))</f>
        <v>0</v>
      </c>
      <c r="AF90" s="1" t="n">
        <f aca="false">SUMPRODUCT($E90:$M90,$N90:$V90)</f>
        <v>0</v>
      </c>
      <c r="AG90" s="1" t="n">
        <f aca="false">SUMPRODUCT(--(($E90:$M90+$N90:$V90)&gt;0))</f>
        <v>0</v>
      </c>
      <c r="AH90" s="1" t="str">
        <f aca="false">IF(AND($B90=1,$C90=1),IF($AG90=0,1,$AF90/$AG90),"")</f>
        <v/>
      </c>
      <c r="AI90" s="1" t="str">
        <f aca="false">IF(AND($B90=1,$C90=1),IF(coding!$I90=coding!$J90,1,0),"")</f>
        <v/>
      </c>
      <c r="AJ90" s="1" t="str">
        <f aca="false">IF($B90=1,IF(SUMPRODUCT(--(($E90:$M90+$W90:$AE90)&gt;0))=0,1,SUMPRODUCT($E90:$M90,$W90:$AE90)/SUMPRODUCT(--(($E90:$M90+$W90:$AE90)&gt;0))),"")</f>
        <v/>
      </c>
      <c r="AK90" s="1" t="str">
        <f aca="false">IF($C90=1,IF(SUMPRODUCT(--(($N90:$V90+$W90:$AE90)&gt;0))=0,1,SUMPRODUCT($N90:$V90,$W90:$AE90)/SUMPRODUCT(--(($N90:$V90+$W90:$AE90)&gt;0))),"")</f>
        <v/>
      </c>
    </row>
    <row r="91" customFormat="false" ht="15" hidden="false" customHeight="true" outlineLevel="0" collapsed="false">
      <c r="A91" s="1" t="str">
        <f aca="false">coding!$A91</f>
        <v>P090</v>
      </c>
      <c r="B91" s="1" t="n">
        <f aca="false">IF(coding!$I91="",0,1)</f>
        <v>0</v>
      </c>
      <c r="C91" s="1" t="n">
        <f aca="false">IF(coding!$J91="",0,1)</f>
        <v>0</v>
      </c>
      <c r="D91" s="1" t="n">
        <f aca="false">IF(coding!$O91="",0,1)</f>
        <v>1</v>
      </c>
      <c r="E91" s="1" t="n">
        <f aca="false">IF(coding!$I91="",0,IF(ISNUMBER(SEARCH("T1",coding!$I91)),1,0))</f>
        <v>0</v>
      </c>
      <c r="F91" s="1" t="n">
        <f aca="false">IF(coding!$I91="",0,IF(ISNUMBER(SEARCH("T2",coding!$I91)),1,0))</f>
        <v>0</v>
      </c>
      <c r="G91" s="1" t="n">
        <f aca="false">IF(coding!$I91="",0,IF(ISNUMBER(SEARCH("T3",coding!$I91)),1,0))</f>
        <v>0</v>
      </c>
      <c r="H91" s="1" t="n">
        <f aca="false">IF(coding!$I91="",0,IF(ISNUMBER(SEARCH("T4",coding!$I91)),1,0))</f>
        <v>0</v>
      </c>
      <c r="I91" s="1" t="n">
        <f aca="false">IF(coding!$I91="",0,IF(ISNUMBER(SEARCH("T5",coding!$I91)),1,0))</f>
        <v>0</v>
      </c>
      <c r="J91" s="1" t="n">
        <f aca="false">IF(coding!$I91="",0,IF(ISNUMBER(SEARCH("T6",coding!$I91)),1,0))</f>
        <v>0</v>
      </c>
      <c r="K91" s="1" t="n">
        <f aca="false">IF(coding!$I91="",0,IF(ISNUMBER(SEARCH("T7",coding!$I91)),1,0))</f>
        <v>0</v>
      </c>
      <c r="L91" s="1" t="n">
        <f aca="false">IF(coding!$I91="",0,IF(ISNUMBER(SEARCH("T8",coding!$I91)),1,0))</f>
        <v>0</v>
      </c>
      <c r="M91" s="1" t="n">
        <f aca="false">IF(coding!$I91="",0,IF(ISNUMBER(SEARCH("T9",coding!$I91)),1,0))</f>
        <v>0</v>
      </c>
      <c r="N91" s="1" t="n">
        <f aca="false">IF(coding!$J91="",0,IF(ISNUMBER(SEARCH("T1",coding!$J91)),1,0))</f>
        <v>0</v>
      </c>
      <c r="O91" s="1" t="n">
        <f aca="false">IF(coding!$J91="",0,IF(ISNUMBER(SEARCH("T2",coding!$J91)),1,0))</f>
        <v>0</v>
      </c>
      <c r="P91" s="1" t="n">
        <f aca="false">IF(coding!$J91="",0,IF(ISNUMBER(SEARCH("T3",coding!$J91)),1,0))</f>
        <v>0</v>
      </c>
      <c r="Q91" s="1" t="n">
        <f aca="false">IF(coding!$J91="",0,IF(ISNUMBER(SEARCH("T4",coding!$J91)),1,0))</f>
        <v>0</v>
      </c>
      <c r="R91" s="1" t="n">
        <f aca="false">IF(coding!$J91="",0,IF(ISNUMBER(SEARCH("T5",coding!$J91)),1,0))</f>
        <v>0</v>
      </c>
      <c r="S91" s="1" t="n">
        <f aca="false">IF(coding!$J91="",0,IF(ISNUMBER(SEARCH("T6",coding!$J91)),1,0))</f>
        <v>0</v>
      </c>
      <c r="T91" s="1" t="n">
        <f aca="false">IF(coding!$J91="",0,IF(ISNUMBER(SEARCH("T7",coding!$J91)),1,0))</f>
        <v>0</v>
      </c>
      <c r="U91" s="1" t="n">
        <f aca="false">IF(coding!$J91="",0,IF(ISNUMBER(SEARCH("T8",coding!$J91)),1,0))</f>
        <v>0</v>
      </c>
      <c r="V91" s="1" t="n">
        <f aca="false">IF(coding!$J91="",0,IF(ISNUMBER(SEARCH("T9",coding!$J91)),1,0))</f>
        <v>0</v>
      </c>
      <c r="W91" s="1" t="n">
        <f aca="false">IF(coding!$O91="",0,IF(ISNUMBER(SEARCH("T1",coding!$O91)),1,0))</f>
        <v>1</v>
      </c>
      <c r="X91" s="1" t="n">
        <f aca="false">IF(coding!$O91="",0,IF(ISNUMBER(SEARCH("T2",coding!$O91)),1,0))</f>
        <v>1</v>
      </c>
      <c r="Y91" s="1" t="n">
        <f aca="false">IF(coding!$O91="",0,IF(ISNUMBER(SEARCH("T3",coding!$O91)),1,0))</f>
        <v>0</v>
      </c>
      <c r="Z91" s="1" t="n">
        <f aca="false">IF(coding!$O91="",0,IF(ISNUMBER(SEARCH("T4",coding!$O91)),1,0))</f>
        <v>0</v>
      </c>
      <c r="AA91" s="1" t="n">
        <f aca="false">IF(coding!$O91="",0,IF(ISNUMBER(SEARCH("T5",coding!$O91)),1,0))</f>
        <v>0</v>
      </c>
      <c r="AB91" s="1" t="n">
        <f aca="false">IF(coding!$O91="",0,IF(ISNUMBER(SEARCH("T6",coding!$O91)),1,0))</f>
        <v>0</v>
      </c>
      <c r="AC91" s="1" t="n">
        <f aca="false">IF(coding!$O91="",0,IF(ISNUMBER(SEARCH("T7",coding!$O91)),1,0))</f>
        <v>0</v>
      </c>
      <c r="AD91" s="1" t="n">
        <f aca="false">IF(coding!$O91="",0,IF(ISNUMBER(SEARCH("T8",coding!$O91)),1,0))</f>
        <v>0</v>
      </c>
      <c r="AE91" s="1" t="n">
        <f aca="false">IF(coding!$O91="",0,IF(ISNUMBER(SEARCH("T9",coding!$O91)),1,0))</f>
        <v>0</v>
      </c>
      <c r="AF91" s="1" t="n">
        <f aca="false">SUMPRODUCT($E91:$M91,$N91:$V91)</f>
        <v>0</v>
      </c>
      <c r="AG91" s="1" t="n">
        <f aca="false">SUMPRODUCT(--(($E91:$M91+$N91:$V91)&gt;0))</f>
        <v>0</v>
      </c>
      <c r="AH91" s="1" t="str">
        <f aca="false">IF(AND($B91=1,$C91=1),IF($AG91=0,1,$AF91/$AG91),"")</f>
        <v/>
      </c>
      <c r="AI91" s="1" t="str">
        <f aca="false">IF(AND($B91=1,$C91=1),IF(coding!$I91=coding!$J91,1,0),"")</f>
        <v/>
      </c>
      <c r="AJ91" s="1" t="str">
        <f aca="false">IF($B91=1,IF(SUMPRODUCT(--(($E91:$M91+$W91:$AE91)&gt;0))=0,1,SUMPRODUCT($E91:$M91,$W91:$AE91)/SUMPRODUCT(--(($E91:$M91+$W91:$AE91)&gt;0))),"")</f>
        <v/>
      </c>
      <c r="AK91" s="1" t="str">
        <f aca="false">IF($C91=1,IF(SUMPRODUCT(--(($N91:$V91+$W91:$AE91)&gt;0))=0,1,SUMPRODUCT($N91:$V91,$W91:$AE91)/SUMPRODUCT(--(($N91:$V91+$W91:$AE91)&gt;0))),"")</f>
        <v/>
      </c>
    </row>
    <row r="92" customFormat="false" ht="15" hidden="false" customHeight="true" outlineLevel="0" collapsed="false">
      <c r="A92" s="1" t="str">
        <f aca="false">coding!$A92</f>
        <v>P091</v>
      </c>
      <c r="B92" s="1" t="n">
        <f aca="false">IF(coding!$I92="",0,1)</f>
        <v>0</v>
      </c>
      <c r="C92" s="1" t="n">
        <f aca="false">IF(coding!$J92="",0,1)</f>
        <v>0</v>
      </c>
      <c r="D92" s="1" t="n">
        <f aca="false">IF(coding!$O92="",0,1)</f>
        <v>1</v>
      </c>
      <c r="E92" s="1" t="n">
        <f aca="false">IF(coding!$I92="",0,IF(ISNUMBER(SEARCH("T1",coding!$I92)),1,0))</f>
        <v>0</v>
      </c>
      <c r="F92" s="1" t="n">
        <f aca="false">IF(coding!$I92="",0,IF(ISNUMBER(SEARCH("T2",coding!$I92)),1,0))</f>
        <v>0</v>
      </c>
      <c r="G92" s="1" t="n">
        <f aca="false">IF(coding!$I92="",0,IF(ISNUMBER(SEARCH("T3",coding!$I92)),1,0))</f>
        <v>0</v>
      </c>
      <c r="H92" s="1" t="n">
        <f aca="false">IF(coding!$I92="",0,IF(ISNUMBER(SEARCH("T4",coding!$I92)),1,0))</f>
        <v>0</v>
      </c>
      <c r="I92" s="1" t="n">
        <f aca="false">IF(coding!$I92="",0,IF(ISNUMBER(SEARCH("T5",coding!$I92)),1,0))</f>
        <v>0</v>
      </c>
      <c r="J92" s="1" t="n">
        <f aca="false">IF(coding!$I92="",0,IF(ISNUMBER(SEARCH("T6",coding!$I92)),1,0))</f>
        <v>0</v>
      </c>
      <c r="K92" s="1" t="n">
        <f aca="false">IF(coding!$I92="",0,IF(ISNUMBER(SEARCH("T7",coding!$I92)),1,0))</f>
        <v>0</v>
      </c>
      <c r="L92" s="1" t="n">
        <f aca="false">IF(coding!$I92="",0,IF(ISNUMBER(SEARCH("T8",coding!$I92)),1,0))</f>
        <v>0</v>
      </c>
      <c r="M92" s="1" t="n">
        <f aca="false">IF(coding!$I92="",0,IF(ISNUMBER(SEARCH("T9",coding!$I92)),1,0))</f>
        <v>0</v>
      </c>
      <c r="N92" s="1" t="n">
        <f aca="false">IF(coding!$J92="",0,IF(ISNUMBER(SEARCH("T1",coding!$J92)),1,0))</f>
        <v>0</v>
      </c>
      <c r="O92" s="1" t="n">
        <f aca="false">IF(coding!$J92="",0,IF(ISNUMBER(SEARCH("T2",coding!$J92)),1,0))</f>
        <v>0</v>
      </c>
      <c r="P92" s="1" t="n">
        <f aca="false">IF(coding!$J92="",0,IF(ISNUMBER(SEARCH("T3",coding!$J92)),1,0))</f>
        <v>0</v>
      </c>
      <c r="Q92" s="1" t="n">
        <f aca="false">IF(coding!$J92="",0,IF(ISNUMBER(SEARCH("T4",coding!$J92)),1,0))</f>
        <v>0</v>
      </c>
      <c r="R92" s="1" t="n">
        <f aca="false">IF(coding!$J92="",0,IF(ISNUMBER(SEARCH("T5",coding!$J92)),1,0))</f>
        <v>0</v>
      </c>
      <c r="S92" s="1" t="n">
        <f aca="false">IF(coding!$J92="",0,IF(ISNUMBER(SEARCH("T6",coding!$J92)),1,0))</f>
        <v>0</v>
      </c>
      <c r="T92" s="1" t="n">
        <f aca="false">IF(coding!$J92="",0,IF(ISNUMBER(SEARCH("T7",coding!$J92)),1,0))</f>
        <v>0</v>
      </c>
      <c r="U92" s="1" t="n">
        <f aca="false">IF(coding!$J92="",0,IF(ISNUMBER(SEARCH("T8",coding!$J92)),1,0))</f>
        <v>0</v>
      </c>
      <c r="V92" s="1" t="n">
        <f aca="false">IF(coding!$J92="",0,IF(ISNUMBER(SEARCH("T9",coding!$J92)),1,0))</f>
        <v>0</v>
      </c>
      <c r="W92" s="1" t="n">
        <f aca="false">IF(coding!$O92="",0,IF(ISNUMBER(SEARCH("T1",coding!$O92)),1,0))</f>
        <v>1</v>
      </c>
      <c r="X92" s="1" t="n">
        <f aca="false">IF(coding!$O92="",0,IF(ISNUMBER(SEARCH("T2",coding!$O92)),1,0))</f>
        <v>0</v>
      </c>
      <c r="Y92" s="1" t="n">
        <f aca="false">IF(coding!$O92="",0,IF(ISNUMBER(SEARCH("T3",coding!$O92)),1,0))</f>
        <v>1</v>
      </c>
      <c r="Z92" s="1" t="n">
        <f aca="false">IF(coding!$O92="",0,IF(ISNUMBER(SEARCH("T4",coding!$O92)),1,0))</f>
        <v>0</v>
      </c>
      <c r="AA92" s="1" t="n">
        <f aca="false">IF(coding!$O92="",0,IF(ISNUMBER(SEARCH("T5",coding!$O92)),1,0))</f>
        <v>0</v>
      </c>
      <c r="AB92" s="1" t="n">
        <f aca="false">IF(coding!$O92="",0,IF(ISNUMBER(SEARCH("T6",coding!$O92)),1,0))</f>
        <v>0</v>
      </c>
      <c r="AC92" s="1" t="n">
        <f aca="false">IF(coding!$O92="",0,IF(ISNUMBER(SEARCH("T7",coding!$O92)),1,0))</f>
        <v>0</v>
      </c>
      <c r="AD92" s="1" t="n">
        <f aca="false">IF(coding!$O92="",0,IF(ISNUMBER(SEARCH("T8",coding!$O92)),1,0))</f>
        <v>0</v>
      </c>
      <c r="AE92" s="1" t="n">
        <f aca="false">IF(coding!$O92="",0,IF(ISNUMBER(SEARCH("T9",coding!$O92)),1,0))</f>
        <v>0</v>
      </c>
      <c r="AF92" s="1" t="n">
        <f aca="false">SUMPRODUCT($E92:$M92,$N92:$V92)</f>
        <v>0</v>
      </c>
      <c r="AG92" s="1" t="n">
        <f aca="false">SUMPRODUCT(--(($E92:$M92+$N92:$V92)&gt;0))</f>
        <v>0</v>
      </c>
      <c r="AH92" s="1" t="str">
        <f aca="false">IF(AND($B92=1,$C92=1),IF($AG92=0,1,$AF92/$AG92),"")</f>
        <v/>
      </c>
      <c r="AI92" s="1" t="str">
        <f aca="false">IF(AND($B92=1,$C92=1),IF(coding!$I92=coding!$J92,1,0),"")</f>
        <v/>
      </c>
      <c r="AJ92" s="1" t="str">
        <f aca="false">IF($B92=1,IF(SUMPRODUCT(--(($E92:$M92+$W92:$AE92)&gt;0))=0,1,SUMPRODUCT($E92:$M92,$W92:$AE92)/SUMPRODUCT(--(($E92:$M92+$W92:$AE92)&gt;0))),"")</f>
        <v/>
      </c>
      <c r="AK92" s="1" t="str">
        <f aca="false">IF($C92=1,IF(SUMPRODUCT(--(($N92:$V92+$W92:$AE92)&gt;0))=0,1,SUMPRODUCT($N92:$V92,$W92:$AE92)/SUMPRODUCT(--(($N92:$V92+$W92:$AE92)&gt;0))),"")</f>
        <v/>
      </c>
    </row>
    <row r="93" customFormat="false" ht="15" hidden="false" customHeight="true" outlineLevel="0" collapsed="false">
      <c r="A93" s="1" t="str">
        <f aca="false">coding!$A93</f>
        <v>P092</v>
      </c>
      <c r="B93" s="1" t="n">
        <f aca="false">IF(coding!$I93="",0,1)</f>
        <v>0</v>
      </c>
      <c r="C93" s="1" t="n">
        <f aca="false">IF(coding!$J93="",0,1)</f>
        <v>0</v>
      </c>
      <c r="D93" s="1" t="n">
        <f aca="false">IF(coding!$O93="",0,1)</f>
        <v>1</v>
      </c>
      <c r="E93" s="1" t="n">
        <f aca="false">IF(coding!$I93="",0,IF(ISNUMBER(SEARCH("T1",coding!$I93)),1,0))</f>
        <v>0</v>
      </c>
      <c r="F93" s="1" t="n">
        <f aca="false">IF(coding!$I93="",0,IF(ISNUMBER(SEARCH("T2",coding!$I93)),1,0))</f>
        <v>0</v>
      </c>
      <c r="G93" s="1" t="n">
        <f aca="false">IF(coding!$I93="",0,IF(ISNUMBER(SEARCH("T3",coding!$I93)),1,0))</f>
        <v>0</v>
      </c>
      <c r="H93" s="1" t="n">
        <f aca="false">IF(coding!$I93="",0,IF(ISNUMBER(SEARCH("T4",coding!$I93)),1,0))</f>
        <v>0</v>
      </c>
      <c r="I93" s="1" t="n">
        <f aca="false">IF(coding!$I93="",0,IF(ISNUMBER(SEARCH("T5",coding!$I93)),1,0))</f>
        <v>0</v>
      </c>
      <c r="J93" s="1" t="n">
        <f aca="false">IF(coding!$I93="",0,IF(ISNUMBER(SEARCH("T6",coding!$I93)),1,0))</f>
        <v>0</v>
      </c>
      <c r="K93" s="1" t="n">
        <f aca="false">IF(coding!$I93="",0,IF(ISNUMBER(SEARCH("T7",coding!$I93)),1,0))</f>
        <v>0</v>
      </c>
      <c r="L93" s="1" t="n">
        <f aca="false">IF(coding!$I93="",0,IF(ISNUMBER(SEARCH("T8",coding!$I93)),1,0))</f>
        <v>0</v>
      </c>
      <c r="M93" s="1" t="n">
        <f aca="false">IF(coding!$I93="",0,IF(ISNUMBER(SEARCH("T9",coding!$I93)),1,0))</f>
        <v>0</v>
      </c>
      <c r="N93" s="1" t="n">
        <f aca="false">IF(coding!$J93="",0,IF(ISNUMBER(SEARCH("T1",coding!$J93)),1,0))</f>
        <v>0</v>
      </c>
      <c r="O93" s="1" t="n">
        <f aca="false">IF(coding!$J93="",0,IF(ISNUMBER(SEARCH("T2",coding!$J93)),1,0))</f>
        <v>0</v>
      </c>
      <c r="P93" s="1" t="n">
        <f aca="false">IF(coding!$J93="",0,IF(ISNUMBER(SEARCH("T3",coding!$J93)),1,0))</f>
        <v>0</v>
      </c>
      <c r="Q93" s="1" t="n">
        <f aca="false">IF(coding!$J93="",0,IF(ISNUMBER(SEARCH("T4",coding!$J93)),1,0))</f>
        <v>0</v>
      </c>
      <c r="R93" s="1" t="n">
        <f aca="false">IF(coding!$J93="",0,IF(ISNUMBER(SEARCH("T5",coding!$J93)),1,0))</f>
        <v>0</v>
      </c>
      <c r="S93" s="1" t="n">
        <f aca="false">IF(coding!$J93="",0,IF(ISNUMBER(SEARCH("T6",coding!$J93)),1,0))</f>
        <v>0</v>
      </c>
      <c r="T93" s="1" t="n">
        <f aca="false">IF(coding!$J93="",0,IF(ISNUMBER(SEARCH("T7",coding!$J93)),1,0))</f>
        <v>0</v>
      </c>
      <c r="U93" s="1" t="n">
        <f aca="false">IF(coding!$J93="",0,IF(ISNUMBER(SEARCH("T8",coding!$J93)),1,0))</f>
        <v>0</v>
      </c>
      <c r="V93" s="1" t="n">
        <f aca="false">IF(coding!$J93="",0,IF(ISNUMBER(SEARCH("T9",coding!$J93)),1,0))</f>
        <v>0</v>
      </c>
      <c r="W93" s="1" t="n">
        <f aca="false">IF(coding!$O93="",0,IF(ISNUMBER(SEARCH("T1",coding!$O93)),1,0))</f>
        <v>0</v>
      </c>
      <c r="X93" s="1" t="n">
        <f aca="false">IF(coding!$O93="",0,IF(ISNUMBER(SEARCH("T2",coding!$O93)),1,0))</f>
        <v>1</v>
      </c>
      <c r="Y93" s="1" t="n">
        <f aca="false">IF(coding!$O93="",0,IF(ISNUMBER(SEARCH("T3",coding!$O93)),1,0))</f>
        <v>0</v>
      </c>
      <c r="Z93" s="1" t="n">
        <f aca="false">IF(coding!$O93="",0,IF(ISNUMBER(SEARCH("T4",coding!$O93)),1,0))</f>
        <v>0</v>
      </c>
      <c r="AA93" s="1" t="n">
        <f aca="false">IF(coding!$O93="",0,IF(ISNUMBER(SEARCH("T5",coding!$O93)),1,0))</f>
        <v>0</v>
      </c>
      <c r="AB93" s="1" t="n">
        <f aca="false">IF(coding!$O93="",0,IF(ISNUMBER(SEARCH("T6",coding!$O93)),1,0))</f>
        <v>0</v>
      </c>
      <c r="AC93" s="1" t="n">
        <f aca="false">IF(coding!$O93="",0,IF(ISNUMBER(SEARCH("T7",coding!$O93)),1,0))</f>
        <v>0</v>
      </c>
      <c r="AD93" s="1" t="n">
        <f aca="false">IF(coding!$O93="",0,IF(ISNUMBER(SEARCH("T8",coding!$O93)),1,0))</f>
        <v>0</v>
      </c>
      <c r="AE93" s="1" t="n">
        <f aca="false">IF(coding!$O93="",0,IF(ISNUMBER(SEARCH("T9",coding!$O93)),1,0))</f>
        <v>0</v>
      </c>
      <c r="AF93" s="1" t="n">
        <f aca="false">SUMPRODUCT($E93:$M93,$N93:$V93)</f>
        <v>0</v>
      </c>
      <c r="AG93" s="1" t="n">
        <f aca="false">SUMPRODUCT(--(($E93:$M93+$N93:$V93)&gt;0))</f>
        <v>0</v>
      </c>
      <c r="AH93" s="1" t="str">
        <f aca="false">IF(AND($B93=1,$C93=1),IF($AG93=0,1,$AF93/$AG93),"")</f>
        <v/>
      </c>
      <c r="AI93" s="1" t="str">
        <f aca="false">IF(AND($B93=1,$C93=1),IF(coding!$I93=coding!$J93,1,0),"")</f>
        <v/>
      </c>
      <c r="AJ93" s="1" t="str">
        <f aca="false">IF($B93=1,IF(SUMPRODUCT(--(($E93:$M93+$W93:$AE93)&gt;0))=0,1,SUMPRODUCT($E93:$M93,$W93:$AE93)/SUMPRODUCT(--(($E93:$M93+$W93:$AE93)&gt;0))),"")</f>
        <v/>
      </c>
      <c r="AK93" s="1" t="str">
        <f aca="false">IF($C93=1,IF(SUMPRODUCT(--(($N93:$V93+$W93:$AE93)&gt;0))=0,1,SUMPRODUCT($N93:$V93,$W93:$AE93)/SUMPRODUCT(--(($N93:$V93+$W93:$AE93)&gt;0))),"")</f>
        <v/>
      </c>
    </row>
    <row r="94" customFormat="false" ht="15" hidden="false" customHeight="true" outlineLevel="0" collapsed="false">
      <c r="A94" s="1" t="str">
        <f aca="false">coding!$A94</f>
        <v>P093</v>
      </c>
      <c r="B94" s="1" t="n">
        <f aca="false">IF(coding!$I94="",0,1)</f>
        <v>0</v>
      </c>
      <c r="C94" s="1" t="n">
        <f aca="false">IF(coding!$J94="",0,1)</f>
        <v>0</v>
      </c>
      <c r="D94" s="1" t="n">
        <f aca="false">IF(coding!$O94="",0,1)</f>
        <v>1</v>
      </c>
      <c r="E94" s="1" t="n">
        <f aca="false">IF(coding!$I94="",0,IF(ISNUMBER(SEARCH("T1",coding!$I94)),1,0))</f>
        <v>0</v>
      </c>
      <c r="F94" s="1" t="n">
        <f aca="false">IF(coding!$I94="",0,IF(ISNUMBER(SEARCH("T2",coding!$I94)),1,0))</f>
        <v>0</v>
      </c>
      <c r="G94" s="1" t="n">
        <f aca="false">IF(coding!$I94="",0,IF(ISNUMBER(SEARCH("T3",coding!$I94)),1,0))</f>
        <v>0</v>
      </c>
      <c r="H94" s="1" t="n">
        <f aca="false">IF(coding!$I94="",0,IF(ISNUMBER(SEARCH("T4",coding!$I94)),1,0))</f>
        <v>0</v>
      </c>
      <c r="I94" s="1" t="n">
        <f aca="false">IF(coding!$I94="",0,IF(ISNUMBER(SEARCH("T5",coding!$I94)),1,0))</f>
        <v>0</v>
      </c>
      <c r="J94" s="1" t="n">
        <f aca="false">IF(coding!$I94="",0,IF(ISNUMBER(SEARCH("T6",coding!$I94)),1,0))</f>
        <v>0</v>
      </c>
      <c r="K94" s="1" t="n">
        <f aca="false">IF(coding!$I94="",0,IF(ISNUMBER(SEARCH("T7",coding!$I94)),1,0))</f>
        <v>0</v>
      </c>
      <c r="L94" s="1" t="n">
        <f aca="false">IF(coding!$I94="",0,IF(ISNUMBER(SEARCH("T8",coding!$I94)),1,0))</f>
        <v>0</v>
      </c>
      <c r="M94" s="1" t="n">
        <f aca="false">IF(coding!$I94="",0,IF(ISNUMBER(SEARCH("T9",coding!$I94)),1,0))</f>
        <v>0</v>
      </c>
      <c r="N94" s="1" t="n">
        <f aca="false">IF(coding!$J94="",0,IF(ISNUMBER(SEARCH("T1",coding!$J94)),1,0))</f>
        <v>0</v>
      </c>
      <c r="O94" s="1" t="n">
        <f aca="false">IF(coding!$J94="",0,IF(ISNUMBER(SEARCH("T2",coding!$J94)),1,0))</f>
        <v>0</v>
      </c>
      <c r="P94" s="1" t="n">
        <f aca="false">IF(coding!$J94="",0,IF(ISNUMBER(SEARCH("T3",coding!$J94)),1,0))</f>
        <v>0</v>
      </c>
      <c r="Q94" s="1" t="n">
        <f aca="false">IF(coding!$J94="",0,IF(ISNUMBER(SEARCH("T4",coding!$J94)),1,0))</f>
        <v>0</v>
      </c>
      <c r="R94" s="1" t="n">
        <f aca="false">IF(coding!$J94="",0,IF(ISNUMBER(SEARCH("T5",coding!$J94)),1,0))</f>
        <v>0</v>
      </c>
      <c r="S94" s="1" t="n">
        <f aca="false">IF(coding!$J94="",0,IF(ISNUMBER(SEARCH("T6",coding!$J94)),1,0))</f>
        <v>0</v>
      </c>
      <c r="T94" s="1" t="n">
        <f aca="false">IF(coding!$J94="",0,IF(ISNUMBER(SEARCH("T7",coding!$J94)),1,0))</f>
        <v>0</v>
      </c>
      <c r="U94" s="1" t="n">
        <f aca="false">IF(coding!$J94="",0,IF(ISNUMBER(SEARCH("T8",coding!$J94)),1,0))</f>
        <v>0</v>
      </c>
      <c r="V94" s="1" t="n">
        <f aca="false">IF(coding!$J94="",0,IF(ISNUMBER(SEARCH("T9",coding!$J94)),1,0))</f>
        <v>0</v>
      </c>
      <c r="W94" s="1" t="n">
        <f aca="false">IF(coding!$O94="",0,IF(ISNUMBER(SEARCH("T1",coding!$O94)),1,0))</f>
        <v>1</v>
      </c>
      <c r="X94" s="1" t="n">
        <f aca="false">IF(coding!$O94="",0,IF(ISNUMBER(SEARCH("T2",coding!$O94)),1,0))</f>
        <v>0</v>
      </c>
      <c r="Y94" s="1" t="n">
        <f aca="false">IF(coding!$O94="",0,IF(ISNUMBER(SEARCH("T3",coding!$O94)),1,0))</f>
        <v>0</v>
      </c>
      <c r="Z94" s="1" t="n">
        <f aca="false">IF(coding!$O94="",0,IF(ISNUMBER(SEARCH("T4",coding!$O94)),1,0))</f>
        <v>0</v>
      </c>
      <c r="AA94" s="1" t="n">
        <f aca="false">IF(coding!$O94="",0,IF(ISNUMBER(SEARCH("T5",coding!$O94)),1,0))</f>
        <v>0</v>
      </c>
      <c r="AB94" s="1" t="n">
        <f aca="false">IF(coding!$O94="",0,IF(ISNUMBER(SEARCH("T6",coding!$O94)),1,0))</f>
        <v>0</v>
      </c>
      <c r="AC94" s="1" t="n">
        <f aca="false">IF(coding!$O94="",0,IF(ISNUMBER(SEARCH("T7",coding!$O94)),1,0))</f>
        <v>0</v>
      </c>
      <c r="AD94" s="1" t="n">
        <f aca="false">IF(coding!$O94="",0,IF(ISNUMBER(SEARCH("T8",coding!$O94)),1,0))</f>
        <v>0</v>
      </c>
      <c r="AE94" s="1" t="n">
        <f aca="false">IF(coding!$O94="",0,IF(ISNUMBER(SEARCH("T9",coding!$O94)),1,0))</f>
        <v>0</v>
      </c>
      <c r="AF94" s="1" t="n">
        <f aca="false">SUMPRODUCT($E94:$M94,$N94:$V94)</f>
        <v>0</v>
      </c>
      <c r="AG94" s="1" t="n">
        <f aca="false">SUMPRODUCT(--(($E94:$M94+$N94:$V94)&gt;0))</f>
        <v>0</v>
      </c>
      <c r="AH94" s="1" t="str">
        <f aca="false">IF(AND($B94=1,$C94=1),IF($AG94=0,1,$AF94/$AG94),"")</f>
        <v/>
      </c>
      <c r="AI94" s="1" t="str">
        <f aca="false">IF(AND($B94=1,$C94=1),IF(coding!$I94=coding!$J94,1,0),"")</f>
        <v/>
      </c>
      <c r="AJ94" s="1" t="str">
        <f aca="false">IF($B94=1,IF(SUMPRODUCT(--(($E94:$M94+$W94:$AE94)&gt;0))=0,1,SUMPRODUCT($E94:$M94,$W94:$AE94)/SUMPRODUCT(--(($E94:$M94+$W94:$AE94)&gt;0))),"")</f>
        <v/>
      </c>
      <c r="AK94" s="1" t="str">
        <f aca="false">IF($C94=1,IF(SUMPRODUCT(--(($N94:$V94+$W94:$AE94)&gt;0))=0,1,SUMPRODUCT($N94:$V94,$W94:$AE94)/SUMPRODUCT(--(($N94:$V94+$W94:$AE94)&gt;0))),"")</f>
        <v/>
      </c>
    </row>
    <row r="95" customFormat="false" ht="15" hidden="false" customHeight="true" outlineLevel="0" collapsed="false">
      <c r="A95" s="1" t="str">
        <f aca="false">coding!$A95</f>
        <v>P094</v>
      </c>
      <c r="B95" s="1" t="n">
        <f aca="false">IF(coding!$I95="",0,1)</f>
        <v>0</v>
      </c>
      <c r="C95" s="1" t="n">
        <f aca="false">IF(coding!$J95="",0,1)</f>
        <v>0</v>
      </c>
      <c r="D95" s="1" t="n">
        <f aca="false">IF(coding!$O95="",0,1)</f>
        <v>1</v>
      </c>
      <c r="E95" s="1" t="n">
        <f aca="false">IF(coding!$I95="",0,IF(ISNUMBER(SEARCH("T1",coding!$I95)),1,0))</f>
        <v>0</v>
      </c>
      <c r="F95" s="1" t="n">
        <f aca="false">IF(coding!$I95="",0,IF(ISNUMBER(SEARCH("T2",coding!$I95)),1,0))</f>
        <v>0</v>
      </c>
      <c r="G95" s="1" t="n">
        <f aca="false">IF(coding!$I95="",0,IF(ISNUMBER(SEARCH("T3",coding!$I95)),1,0))</f>
        <v>0</v>
      </c>
      <c r="H95" s="1" t="n">
        <f aca="false">IF(coding!$I95="",0,IF(ISNUMBER(SEARCH("T4",coding!$I95)),1,0))</f>
        <v>0</v>
      </c>
      <c r="I95" s="1" t="n">
        <f aca="false">IF(coding!$I95="",0,IF(ISNUMBER(SEARCH("T5",coding!$I95)),1,0))</f>
        <v>0</v>
      </c>
      <c r="J95" s="1" t="n">
        <f aca="false">IF(coding!$I95="",0,IF(ISNUMBER(SEARCH("T6",coding!$I95)),1,0))</f>
        <v>0</v>
      </c>
      <c r="K95" s="1" t="n">
        <f aca="false">IF(coding!$I95="",0,IF(ISNUMBER(SEARCH("T7",coding!$I95)),1,0))</f>
        <v>0</v>
      </c>
      <c r="L95" s="1" t="n">
        <f aca="false">IF(coding!$I95="",0,IF(ISNUMBER(SEARCH("T8",coding!$I95)),1,0))</f>
        <v>0</v>
      </c>
      <c r="M95" s="1" t="n">
        <f aca="false">IF(coding!$I95="",0,IF(ISNUMBER(SEARCH("T9",coding!$I95)),1,0))</f>
        <v>0</v>
      </c>
      <c r="N95" s="1" t="n">
        <f aca="false">IF(coding!$J95="",0,IF(ISNUMBER(SEARCH("T1",coding!$J95)),1,0))</f>
        <v>0</v>
      </c>
      <c r="O95" s="1" t="n">
        <f aca="false">IF(coding!$J95="",0,IF(ISNUMBER(SEARCH("T2",coding!$J95)),1,0))</f>
        <v>0</v>
      </c>
      <c r="P95" s="1" t="n">
        <f aca="false">IF(coding!$J95="",0,IF(ISNUMBER(SEARCH("T3",coding!$J95)),1,0))</f>
        <v>0</v>
      </c>
      <c r="Q95" s="1" t="n">
        <f aca="false">IF(coding!$J95="",0,IF(ISNUMBER(SEARCH("T4",coding!$J95)),1,0))</f>
        <v>0</v>
      </c>
      <c r="R95" s="1" t="n">
        <f aca="false">IF(coding!$J95="",0,IF(ISNUMBER(SEARCH("T5",coding!$J95)),1,0))</f>
        <v>0</v>
      </c>
      <c r="S95" s="1" t="n">
        <f aca="false">IF(coding!$J95="",0,IF(ISNUMBER(SEARCH("T6",coding!$J95)),1,0))</f>
        <v>0</v>
      </c>
      <c r="T95" s="1" t="n">
        <f aca="false">IF(coding!$J95="",0,IF(ISNUMBER(SEARCH("T7",coding!$J95)),1,0))</f>
        <v>0</v>
      </c>
      <c r="U95" s="1" t="n">
        <f aca="false">IF(coding!$J95="",0,IF(ISNUMBER(SEARCH("T8",coding!$J95)),1,0))</f>
        <v>0</v>
      </c>
      <c r="V95" s="1" t="n">
        <f aca="false">IF(coding!$J95="",0,IF(ISNUMBER(SEARCH("T9",coding!$J95)),1,0))</f>
        <v>0</v>
      </c>
      <c r="W95" s="1" t="n">
        <f aca="false">IF(coding!$O95="",0,IF(ISNUMBER(SEARCH("T1",coding!$O95)),1,0))</f>
        <v>1</v>
      </c>
      <c r="X95" s="1" t="n">
        <f aca="false">IF(coding!$O95="",0,IF(ISNUMBER(SEARCH("T2",coding!$O95)),1,0))</f>
        <v>0</v>
      </c>
      <c r="Y95" s="1" t="n">
        <f aca="false">IF(coding!$O95="",0,IF(ISNUMBER(SEARCH("T3",coding!$O95)),1,0))</f>
        <v>0</v>
      </c>
      <c r="Z95" s="1" t="n">
        <f aca="false">IF(coding!$O95="",0,IF(ISNUMBER(SEARCH("T4",coding!$O95)),1,0))</f>
        <v>1</v>
      </c>
      <c r="AA95" s="1" t="n">
        <f aca="false">IF(coding!$O95="",0,IF(ISNUMBER(SEARCH("T5",coding!$O95)),1,0))</f>
        <v>0</v>
      </c>
      <c r="AB95" s="1" t="n">
        <f aca="false">IF(coding!$O95="",0,IF(ISNUMBER(SEARCH("T6",coding!$O95)),1,0))</f>
        <v>1</v>
      </c>
      <c r="AC95" s="1" t="n">
        <f aca="false">IF(coding!$O95="",0,IF(ISNUMBER(SEARCH("T7",coding!$O95)),1,0))</f>
        <v>0</v>
      </c>
      <c r="AD95" s="1" t="n">
        <f aca="false">IF(coding!$O95="",0,IF(ISNUMBER(SEARCH("T8",coding!$O95)),1,0))</f>
        <v>0</v>
      </c>
      <c r="AE95" s="1" t="n">
        <f aca="false">IF(coding!$O95="",0,IF(ISNUMBER(SEARCH("T9",coding!$O95)),1,0))</f>
        <v>0</v>
      </c>
      <c r="AF95" s="1" t="n">
        <f aca="false">SUMPRODUCT($E95:$M95,$N95:$V95)</f>
        <v>0</v>
      </c>
      <c r="AG95" s="1" t="n">
        <f aca="false">SUMPRODUCT(--(($E95:$M95+$N95:$V95)&gt;0))</f>
        <v>0</v>
      </c>
      <c r="AH95" s="1" t="str">
        <f aca="false">IF(AND($B95=1,$C95=1),IF($AG95=0,1,$AF95/$AG95),"")</f>
        <v/>
      </c>
      <c r="AI95" s="1" t="str">
        <f aca="false">IF(AND($B95=1,$C95=1),IF(coding!$I95=coding!$J95,1,0),"")</f>
        <v/>
      </c>
      <c r="AJ95" s="1" t="str">
        <f aca="false">IF($B95=1,IF(SUMPRODUCT(--(($E95:$M95+$W95:$AE95)&gt;0))=0,1,SUMPRODUCT($E95:$M95,$W95:$AE95)/SUMPRODUCT(--(($E95:$M95+$W95:$AE95)&gt;0))),"")</f>
        <v/>
      </c>
      <c r="AK95" s="1" t="str">
        <f aca="false">IF($C95=1,IF(SUMPRODUCT(--(($N95:$V95+$W95:$AE95)&gt;0))=0,1,SUMPRODUCT($N95:$V95,$W95:$AE95)/SUMPRODUCT(--(($N95:$V95+$W95:$AE95)&gt;0))),"")</f>
        <v/>
      </c>
    </row>
    <row r="96" customFormat="false" ht="15" hidden="false" customHeight="true" outlineLevel="0" collapsed="false">
      <c r="A96" s="1" t="str">
        <f aca="false">coding!$A96</f>
        <v>P095</v>
      </c>
      <c r="B96" s="1" t="n">
        <f aca="false">IF(coding!$I96="",0,1)</f>
        <v>0</v>
      </c>
      <c r="C96" s="1" t="n">
        <f aca="false">IF(coding!$J96="",0,1)</f>
        <v>0</v>
      </c>
      <c r="D96" s="1" t="n">
        <f aca="false">IF(coding!$O96="",0,1)</f>
        <v>1</v>
      </c>
      <c r="E96" s="1" t="n">
        <f aca="false">IF(coding!$I96="",0,IF(ISNUMBER(SEARCH("T1",coding!$I96)),1,0))</f>
        <v>0</v>
      </c>
      <c r="F96" s="1" t="n">
        <f aca="false">IF(coding!$I96="",0,IF(ISNUMBER(SEARCH("T2",coding!$I96)),1,0))</f>
        <v>0</v>
      </c>
      <c r="G96" s="1" t="n">
        <f aca="false">IF(coding!$I96="",0,IF(ISNUMBER(SEARCH("T3",coding!$I96)),1,0))</f>
        <v>0</v>
      </c>
      <c r="H96" s="1" t="n">
        <f aca="false">IF(coding!$I96="",0,IF(ISNUMBER(SEARCH("T4",coding!$I96)),1,0))</f>
        <v>0</v>
      </c>
      <c r="I96" s="1" t="n">
        <f aca="false">IF(coding!$I96="",0,IF(ISNUMBER(SEARCH("T5",coding!$I96)),1,0))</f>
        <v>0</v>
      </c>
      <c r="J96" s="1" t="n">
        <f aca="false">IF(coding!$I96="",0,IF(ISNUMBER(SEARCH("T6",coding!$I96)),1,0))</f>
        <v>0</v>
      </c>
      <c r="K96" s="1" t="n">
        <f aca="false">IF(coding!$I96="",0,IF(ISNUMBER(SEARCH("T7",coding!$I96)),1,0))</f>
        <v>0</v>
      </c>
      <c r="L96" s="1" t="n">
        <f aca="false">IF(coding!$I96="",0,IF(ISNUMBER(SEARCH("T8",coding!$I96)),1,0))</f>
        <v>0</v>
      </c>
      <c r="M96" s="1" t="n">
        <f aca="false">IF(coding!$I96="",0,IF(ISNUMBER(SEARCH("T9",coding!$I96)),1,0))</f>
        <v>0</v>
      </c>
      <c r="N96" s="1" t="n">
        <f aca="false">IF(coding!$J96="",0,IF(ISNUMBER(SEARCH("T1",coding!$J96)),1,0))</f>
        <v>0</v>
      </c>
      <c r="O96" s="1" t="n">
        <f aca="false">IF(coding!$J96="",0,IF(ISNUMBER(SEARCH("T2",coding!$J96)),1,0))</f>
        <v>0</v>
      </c>
      <c r="P96" s="1" t="n">
        <f aca="false">IF(coding!$J96="",0,IF(ISNUMBER(SEARCH("T3",coding!$J96)),1,0))</f>
        <v>0</v>
      </c>
      <c r="Q96" s="1" t="n">
        <f aca="false">IF(coding!$J96="",0,IF(ISNUMBER(SEARCH("T4",coding!$J96)),1,0))</f>
        <v>0</v>
      </c>
      <c r="R96" s="1" t="n">
        <f aca="false">IF(coding!$J96="",0,IF(ISNUMBER(SEARCH("T5",coding!$J96)),1,0))</f>
        <v>0</v>
      </c>
      <c r="S96" s="1" t="n">
        <f aca="false">IF(coding!$J96="",0,IF(ISNUMBER(SEARCH("T6",coding!$J96)),1,0))</f>
        <v>0</v>
      </c>
      <c r="T96" s="1" t="n">
        <f aca="false">IF(coding!$J96="",0,IF(ISNUMBER(SEARCH("T7",coding!$J96)),1,0))</f>
        <v>0</v>
      </c>
      <c r="U96" s="1" t="n">
        <f aca="false">IF(coding!$J96="",0,IF(ISNUMBER(SEARCH("T8",coding!$J96)),1,0))</f>
        <v>0</v>
      </c>
      <c r="V96" s="1" t="n">
        <f aca="false">IF(coding!$J96="",0,IF(ISNUMBER(SEARCH("T9",coding!$J96)),1,0))</f>
        <v>0</v>
      </c>
      <c r="W96" s="1" t="n">
        <f aca="false">IF(coding!$O96="",0,IF(ISNUMBER(SEARCH("T1",coding!$O96)),1,0))</f>
        <v>0</v>
      </c>
      <c r="X96" s="1" t="n">
        <f aca="false">IF(coding!$O96="",0,IF(ISNUMBER(SEARCH("T2",coding!$O96)),1,0))</f>
        <v>1</v>
      </c>
      <c r="Y96" s="1" t="n">
        <f aca="false">IF(coding!$O96="",0,IF(ISNUMBER(SEARCH("T3",coding!$O96)),1,0))</f>
        <v>0</v>
      </c>
      <c r="Z96" s="1" t="n">
        <f aca="false">IF(coding!$O96="",0,IF(ISNUMBER(SEARCH("T4",coding!$O96)),1,0))</f>
        <v>0</v>
      </c>
      <c r="AA96" s="1" t="n">
        <f aca="false">IF(coding!$O96="",0,IF(ISNUMBER(SEARCH("T5",coding!$O96)),1,0))</f>
        <v>0</v>
      </c>
      <c r="AB96" s="1" t="n">
        <f aca="false">IF(coding!$O96="",0,IF(ISNUMBER(SEARCH("T6",coding!$O96)),1,0))</f>
        <v>0</v>
      </c>
      <c r="AC96" s="1" t="n">
        <f aca="false">IF(coding!$O96="",0,IF(ISNUMBER(SEARCH("T7",coding!$O96)),1,0))</f>
        <v>0</v>
      </c>
      <c r="AD96" s="1" t="n">
        <f aca="false">IF(coding!$O96="",0,IF(ISNUMBER(SEARCH("T8",coding!$O96)),1,0))</f>
        <v>0</v>
      </c>
      <c r="AE96" s="1" t="n">
        <f aca="false">IF(coding!$O96="",0,IF(ISNUMBER(SEARCH("T9",coding!$O96)),1,0))</f>
        <v>0</v>
      </c>
      <c r="AF96" s="1" t="n">
        <f aca="false">SUMPRODUCT($E96:$M96,$N96:$V96)</f>
        <v>0</v>
      </c>
      <c r="AG96" s="1" t="n">
        <f aca="false">SUMPRODUCT(--(($E96:$M96+$N96:$V96)&gt;0))</f>
        <v>0</v>
      </c>
      <c r="AH96" s="1" t="str">
        <f aca="false">IF(AND($B96=1,$C96=1),IF($AG96=0,1,$AF96/$AG96),"")</f>
        <v/>
      </c>
      <c r="AI96" s="1" t="str">
        <f aca="false">IF(AND($B96=1,$C96=1),IF(coding!$I96=coding!$J96,1,0),"")</f>
        <v/>
      </c>
      <c r="AJ96" s="1" t="str">
        <f aca="false">IF($B96=1,IF(SUMPRODUCT(--(($E96:$M96+$W96:$AE96)&gt;0))=0,1,SUMPRODUCT($E96:$M96,$W96:$AE96)/SUMPRODUCT(--(($E96:$M96+$W96:$AE96)&gt;0))),"")</f>
        <v/>
      </c>
      <c r="AK96" s="1" t="str">
        <f aca="false">IF($C96=1,IF(SUMPRODUCT(--(($N96:$V96+$W96:$AE96)&gt;0))=0,1,SUMPRODUCT($N96:$V96,$W96:$AE96)/SUMPRODUCT(--(($N96:$V96+$W96:$AE96)&gt;0))),"")</f>
        <v/>
      </c>
    </row>
    <row r="97" customFormat="false" ht="15" hidden="false" customHeight="true" outlineLevel="0" collapsed="false">
      <c r="A97" s="1" t="str">
        <f aca="false">coding!$A97</f>
        <v>P096</v>
      </c>
      <c r="B97" s="1" t="n">
        <f aca="false">IF(coding!$I97="",0,1)</f>
        <v>0</v>
      </c>
      <c r="C97" s="1" t="n">
        <f aca="false">IF(coding!$J97="",0,1)</f>
        <v>0</v>
      </c>
      <c r="D97" s="1" t="n">
        <f aca="false">IF(coding!$O97="",0,1)</f>
        <v>1</v>
      </c>
      <c r="E97" s="1" t="n">
        <f aca="false">IF(coding!$I97="",0,IF(ISNUMBER(SEARCH("T1",coding!$I97)),1,0))</f>
        <v>0</v>
      </c>
      <c r="F97" s="1" t="n">
        <f aca="false">IF(coding!$I97="",0,IF(ISNUMBER(SEARCH("T2",coding!$I97)),1,0))</f>
        <v>0</v>
      </c>
      <c r="G97" s="1" t="n">
        <f aca="false">IF(coding!$I97="",0,IF(ISNUMBER(SEARCH("T3",coding!$I97)),1,0))</f>
        <v>0</v>
      </c>
      <c r="H97" s="1" t="n">
        <f aca="false">IF(coding!$I97="",0,IF(ISNUMBER(SEARCH("T4",coding!$I97)),1,0))</f>
        <v>0</v>
      </c>
      <c r="I97" s="1" t="n">
        <f aca="false">IF(coding!$I97="",0,IF(ISNUMBER(SEARCH("T5",coding!$I97)),1,0))</f>
        <v>0</v>
      </c>
      <c r="J97" s="1" t="n">
        <f aca="false">IF(coding!$I97="",0,IF(ISNUMBER(SEARCH("T6",coding!$I97)),1,0))</f>
        <v>0</v>
      </c>
      <c r="K97" s="1" t="n">
        <f aca="false">IF(coding!$I97="",0,IF(ISNUMBER(SEARCH("T7",coding!$I97)),1,0))</f>
        <v>0</v>
      </c>
      <c r="L97" s="1" t="n">
        <f aca="false">IF(coding!$I97="",0,IF(ISNUMBER(SEARCH("T8",coding!$I97)),1,0))</f>
        <v>0</v>
      </c>
      <c r="M97" s="1" t="n">
        <f aca="false">IF(coding!$I97="",0,IF(ISNUMBER(SEARCH("T9",coding!$I97)),1,0))</f>
        <v>0</v>
      </c>
      <c r="N97" s="1" t="n">
        <f aca="false">IF(coding!$J97="",0,IF(ISNUMBER(SEARCH("T1",coding!$J97)),1,0))</f>
        <v>0</v>
      </c>
      <c r="O97" s="1" t="n">
        <f aca="false">IF(coding!$J97="",0,IF(ISNUMBER(SEARCH("T2",coding!$J97)),1,0))</f>
        <v>0</v>
      </c>
      <c r="P97" s="1" t="n">
        <f aca="false">IF(coding!$J97="",0,IF(ISNUMBER(SEARCH("T3",coding!$J97)),1,0))</f>
        <v>0</v>
      </c>
      <c r="Q97" s="1" t="n">
        <f aca="false">IF(coding!$J97="",0,IF(ISNUMBER(SEARCH("T4",coding!$J97)),1,0))</f>
        <v>0</v>
      </c>
      <c r="R97" s="1" t="n">
        <f aca="false">IF(coding!$J97="",0,IF(ISNUMBER(SEARCH("T5",coding!$J97)),1,0))</f>
        <v>0</v>
      </c>
      <c r="S97" s="1" t="n">
        <f aca="false">IF(coding!$J97="",0,IF(ISNUMBER(SEARCH("T6",coding!$J97)),1,0))</f>
        <v>0</v>
      </c>
      <c r="T97" s="1" t="n">
        <f aca="false">IF(coding!$J97="",0,IF(ISNUMBER(SEARCH("T7",coding!$J97)),1,0))</f>
        <v>0</v>
      </c>
      <c r="U97" s="1" t="n">
        <f aca="false">IF(coding!$J97="",0,IF(ISNUMBER(SEARCH("T8",coding!$J97)),1,0))</f>
        <v>0</v>
      </c>
      <c r="V97" s="1" t="n">
        <f aca="false">IF(coding!$J97="",0,IF(ISNUMBER(SEARCH("T9",coding!$J97)),1,0))</f>
        <v>0</v>
      </c>
      <c r="W97" s="1" t="n">
        <f aca="false">IF(coding!$O97="",0,IF(ISNUMBER(SEARCH("T1",coding!$O97)),1,0))</f>
        <v>1</v>
      </c>
      <c r="X97" s="1" t="n">
        <f aca="false">IF(coding!$O97="",0,IF(ISNUMBER(SEARCH("T2",coding!$O97)),1,0))</f>
        <v>1</v>
      </c>
      <c r="Y97" s="1" t="n">
        <f aca="false">IF(coding!$O97="",0,IF(ISNUMBER(SEARCH("T3",coding!$O97)),1,0))</f>
        <v>0</v>
      </c>
      <c r="Z97" s="1" t="n">
        <f aca="false">IF(coding!$O97="",0,IF(ISNUMBER(SEARCH("T4",coding!$O97)),1,0))</f>
        <v>0</v>
      </c>
      <c r="AA97" s="1" t="n">
        <f aca="false">IF(coding!$O97="",0,IF(ISNUMBER(SEARCH("T5",coding!$O97)),1,0))</f>
        <v>0</v>
      </c>
      <c r="AB97" s="1" t="n">
        <f aca="false">IF(coding!$O97="",0,IF(ISNUMBER(SEARCH("T6",coding!$O97)),1,0))</f>
        <v>0</v>
      </c>
      <c r="AC97" s="1" t="n">
        <f aca="false">IF(coding!$O97="",0,IF(ISNUMBER(SEARCH("T7",coding!$O97)),1,0))</f>
        <v>0</v>
      </c>
      <c r="AD97" s="1" t="n">
        <f aca="false">IF(coding!$O97="",0,IF(ISNUMBER(SEARCH("T8",coding!$O97)),1,0))</f>
        <v>0</v>
      </c>
      <c r="AE97" s="1" t="n">
        <f aca="false">IF(coding!$O97="",0,IF(ISNUMBER(SEARCH("T9",coding!$O97)),1,0))</f>
        <v>0</v>
      </c>
      <c r="AF97" s="1" t="n">
        <f aca="false">SUMPRODUCT($E97:$M97,$N97:$V97)</f>
        <v>0</v>
      </c>
      <c r="AG97" s="1" t="n">
        <f aca="false">SUMPRODUCT(--(($E97:$M97+$N97:$V97)&gt;0))</f>
        <v>0</v>
      </c>
      <c r="AH97" s="1" t="str">
        <f aca="false">IF(AND($B97=1,$C97=1),IF($AG97=0,1,$AF97/$AG97),"")</f>
        <v/>
      </c>
      <c r="AI97" s="1" t="str">
        <f aca="false">IF(AND($B97=1,$C97=1),IF(coding!$I97=coding!$J97,1,0),"")</f>
        <v/>
      </c>
      <c r="AJ97" s="1" t="str">
        <f aca="false">IF($B97=1,IF(SUMPRODUCT(--(($E97:$M97+$W97:$AE97)&gt;0))=0,1,SUMPRODUCT($E97:$M97,$W97:$AE97)/SUMPRODUCT(--(($E97:$M97+$W97:$AE97)&gt;0))),"")</f>
        <v/>
      </c>
      <c r="AK97" s="1" t="str">
        <f aca="false">IF($C97=1,IF(SUMPRODUCT(--(($N97:$V97+$W97:$AE97)&gt;0))=0,1,SUMPRODUCT($N97:$V97,$W97:$AE97)/SUMPRODUCT(--(($N97:$V97+$W97:$AE97)&gt;0))),"")</f>
        <v/>
      </c>
    </row>
    <row r="98" customFormat="false" ht="15" hidden="false" customHeight="true" outlineLevel="0" collapsed="false">
      <c r="A98" s="1" t="str">
        <f aca="false">coding!$A98</f>
        <v>P097</v>
      </c>
      <c r="B98" s="1" t="n">
        <f aca="false">IF(coding!$I98="",0,1)</f>
        <v>0</v>
      </c>
      <c r="C98" s="1" t="n">
        <f aca="false">IF(coding!$J98="",0,1)</f>
        <v>0</v>
      </c>
      <c r="D98" s="1" t="n">
        <f aca="false">IF(coding!$O98="",0,1)</f>
        <v>1</v>
      </c>
      <c r="E98" s="1" t="n">
        <f aca="false">IF(coding!$I98="",0,IF(ISNUMBER(SEARCH("T1",coding!$I98)),1,0))</f>
        <v>0</v>
      </c>
      <c r="F98" s="1" t="n">
        <f aca="false">IF(coding!$I98="",0,IF(ISNUMBER(SEARCH("T2",coding!$I98)),1,0))</f>
        <v>0</v>
      </c>
      <c r="G98" s="1" t="n">
        <f aca="false">IF(coding!$I98="",0,IF(ISNUMBER(SEARCH("T3",coding!$I98)),1,0))</f>
        <v>0</v>
      </c>
      <c r="H98" s="1" t="n">
        <f aca="false">IF(coding!$I98="",0,IF(ISNUMBER(SEARCH("T4",coding!$I98)),1,0))</f>
        <v>0</v>
      </c>
      <c r="I98" s="1" t="n">
        <f aca="false">IF(coding!$I98="",0,IF(ISNUMBER(SEARCH("T5",coding!$I98)),1,0))</f>
        <v>0</v>
      </c>
      <c r="J98" s="1" t="n">
        <f aca="false">IF(coding!$I98="",0,IF(ISNUMBER(SEARCH("T6",coding!$I98)),1,0))</f>
        <v>0</v>
      </c>
      <c r="K98" s="1" t="n">
        <f aca="false">IF(coding!$I98="",0,IF(ISNUMBER(SEARCH("T7",coding!$I98)),1,0))</f>
        <v>0</v>
      </c>
      <c r="L98" s="1" t="n">
        <f aca="false">IF(coding!$I98="",0,IF(ISNUMBER(SEARCH("T8",coding!$I98)),1,0))</f>
        <v>0</v>
      </c>
      <c r="M98" s="1" t="n">
        <f aca="false">IF(coding!$I98="",0,IF(ISNUMBER(SEARCH("T9",coding!$I98)),1,0))</f>
        <v>0</v>
      </c>
      <c r="N98" s="1" t="n">
        <f aca="false">IF(coding!$J98="",0,IF(ISNUMBER(SEARCH("T1",coding!$J98)),1,0))</f>
        <v>0</v>
      </c>
      <c r="O98" s="1" t="n">
        <f aca="false">IF(coding!$J98="",0,IF(ISNUMBER(SEARCH("T2",coding!$J98)),1,0))</f>
        <v>0</v>
      </c>
      <c r="P98" s="1" t="n">
        <f aca="false">IF(coding!$J98="",0,IF(ISNUMBER(SEARCH("T3",coding!$J98)),1,0))</f>
        <v>0</v>
      </c>
      <c r="Q98" s="1" t="n">
        <f aca="false">IF(coding!$J98="",0,IF(ISNUMBER(SEARCH("T4",coding!$J98)),1,0))</f>
        <v>0</v>
      </c>
      <c r="R98" s="1" t="n">
        <f aca="false">IF(coding!$J98="",0,IF(ISNUMBER(SEARCH("T5",coding!$J98)),1,0))</f>
        <v>0</v>
      </c>
      <c r="S98" s="1" t="n">
        <f aca="false">IF(coding!$J98="",0,IF(ISNUMBER(SEARCH("T6",coding!$J98)),1,0))</f>
        <v>0</v>
      </c>
      <c r="T98" s="1" t="n">
        <f aca="false">IF(coding!$J98="",0,IF(ISNUMBER(SEARCH("T7",coding!$J98)),1,0))</f>
        <v>0</v>
      </c>
      <c r="U98" s="1" t="n">
        <f aca="false">IF(coding!$J98="",0,IF(ISNUMBER(SEARCH("T8",coding!$J98)),1,0))</f>
        <v>0</v>
      </c>
      <c r="V98" s="1" t="n">
        <f aca="false">IF(coding!$J98="",0,IF(ISNUMBER(SEARCH("T9",coding!$J98)),1,0))</f>
        <v>0</v>
      </c>
      <c r="W98" s="1" t="n">
        <f aca="false">IF(coding!$O98="",0,IF(ISNUMBER(SEARCH("T1",coding!$O98)),1,0))</f>
        <v>1</v>
      </c>
      <c r="X98" s="1" t="n">
        <f aca="false">IF(coding!$O98="",0,IF(ISNUMBER(SEARCH("T2",coding!$O98)),1,0))</f>
        <v>0</v>
      </c>
      <c r="Y98" s="1" t="n">
        <f aca="false">IF(coding!$O98="",0,IF(ISNUMBER(SEARCH("T3",coding!$O98)),1,0))</f>
        <v>0</v>
      </c>
      <c r="Z98" s="1" t="n">
        <f aca="false">IF(coding!$O98="",0,IF(ISNUMBER(SEARCH("T4",coding!$O98)),1,0))</f>
        <v>0</v>
      </c>
      <c r="AA98" s="1" t="n">
        <f aca="false">IF(coding!$O98="",0,IF(ISNUMBER(SEARCH("T5",coding!$O98)),1,0))</f>
        <v>0</v>
      </c>
      <c r="AB98" s="1" t="n">
        <f aca="false">IF(coding!$O98="",0,IF(ISNUMBER(SEARCH("T6",coding!$O98)),1,0))</f>
        <v>0</v>
      </c>
      <c r="AC98" s="1" t="n">
        <f aca="false">IF(coding!$O98="",0,IF(ISNUMBER(SEARCH("T7",coding!$O98)),1,0))</f>
        <v>0</v>
      </c>
      <c r="AD98" s="1" t="n">
        <f aca="false">IF(coding!$O98="",0,IF(ISNUMBER(SEARCH("T8",coding!$O98)),1,0))</f>
        <v>0</v>
      </c>
      <c r="AE98" s="1" t="n">
        <f aca="false">IF(coding!$O98="",0,IF(ISNUMBER(SEARCH("T9",coding!$O98)),1,0))</f>
        <v>0</v>
      </c>
      <c r="AF98" s="1" t="n">
        <f aca="false">SUMPRODUCT($E98:$M98,$N98:$V98)</f>
        <v>0</v>
      </c>
      <c r="AG98" s="1" t="n">
        <f aca="false">SUMPRODUCT(--(($E98:$M98+$N98:$V98)&gt;0))</f>
        <v>0</v>
      </c>
      <c r="AH98" s="1" t="str">
        <f aca="false">IF(AND($B98=1,$C98=1),IF($AG98=0,1,$AF98/$AG98),"")</f>
        <v/>
      </c>
      <c r="AI98" s="1" t="str">
        <f aca="false">IF(AND($B98=1,$C98=1),IF(coding!$I98=coding!$J98,1,0),"")</f>
        <v/>
      </c>
      <c r="AJ98" s="1" t="str">
        <f aca="false">IF($B98=1,IF(SUMPRODUCT(--(($E98:$M98+$W98:$AE98)&gt;0))=0,1,SUMPRODUCT($E98:$M98,$W98:$AE98)/SUMPRODUCT(--(($E98:$M98+$W98:$AE98)&gt;0))),"")</f>
        <v/>
      </c>
      <c r="AK98" s="1" t="str">
        <f aca="false">IF($C98=1,IF(SUMPRODUCT(--(($N98:$V98+$W98:$AE98)&gt;0))=0,1,SUMPRODUCT($N98:$V98,$W98:$AE98)/SUMPRODUCT(--(($N98:$V98+$W98:$AE98)&gt;0))),"")</f>
        <v/>
      </c>
    </row>
    <row r="99" customFormat="false" ht="15" hidden="false" customHeight="true" outlineLevel="0" collapsed="false">
      <c r="A99" s="1" t="str">
        <f aca="false">coding!$A99</f>
        <v>P098</v>
      </c>
      <c r="B99" s="1" t="n">
        <f aca="false">IF(coding!$I99="",0,1)</f>
        <v>0</v>
      </c>
      <c r="C99" s="1" t="n">
        <f aca="false">IF(coding!$J99="",0,1)</f>
        <v>0</v>
      </c>
      <c r="D99" s="1" t="n">
        <f aca="false">IF(coding!$O99="",0,1)</f>
        <v>1</v>
      </c>
      <c r="E99" s="1" t="n">
        <f aca="false">IF(coding!$I99="",0,IF(ISNUMBER(SEARCH("T1",coding!$I99)),1,0))</f>
        <v>0</v>
      </c>
      <c r="F99" s="1" t="n">
        <f aca="false">IF(coding!$I99="",0,IF(ISNUMBER(SEARCH("T2",coding!$I99)),1,0))</f>
        <v>0</v>
      </c>
      <c r="G99" s="1" t="n">
        <f aca="false">IF(coding!$I99="",0,IF(ISNUMBER(SEARCH("T3",coding!$I99)),1,0))</f>
        <v>0</v>
      </c>
      <c r="H99" s="1" t="n">
        <f aca="false">IF(coding!$I99="",0,IF(ISNUMBER(SEARCH("T4",coding!$I99)),1,0))</f>
        <v>0</v>
      </c>
      <c r="I99" s="1" t="n">
        <f aca="false">IF(coding!$I99="",0,IF(ISNUMBER(SEARCH("T5",coding!$I99)),1,0))</f>
        <v>0</v>
      </c>
      <c r="J99" s="1" t="n">
        <f aca="false">IF(coding!$I99="",0,IF(ISNUMBER(SEARCH("T6",coding!$I99)),1,0))</f>
        <v>0</v>
      </c>
      <c r="K99" s="1" t="n">
        <f aca="false">IF(coding!$I99="",0,IF(ISNUMBER(SEARCH("T7",coding!$I99)),1,0))</f>
        <v>0</v>
      </c>
      <c r="L99" s="1" t="n">
        <f aca="false">IF(coding!$I99="",0,IF(ISNUMBER(SEARCH("T8",coding!$I99)),1,0))</f>
        <v>0</v>
      </c>
      <c r="M99" s="1" t="n">
        <f aca="false">IF(coding!$I99="",0,IF(ISNUMBER(SEARCH("T9",coding!$I99)),1,0))</f>
        <v>0</v>
      </c>
      <c r="N99" s="1" t="n">
        <f aca="false">IF(coding!$J99="",0,IF(ISNUMBER(SEARCH("T1",coding!$J99)),1,0))</f>
        <v>0</v>
      </c>
      <c r="O99" s="1" t="n">
        <f aca="false">IF(coding!$J99="",0,IF(ISNUMBER(SEARCH("T2",coding!$J99)),1,0))</f>
        <v>0</v>
      </c>
      <c r="P99" s="1" t="n">
        <f aca="false">IF(coding!$J99="",0,IF(ISNUMBER(SEARCH("T3",coding!$J99)),1,0))</f>
        <v>0</v>
      </c>
      <c r="Q99" s="1" t="n">
        <f aca="false">IF(coding!$J99="",0,IF(ISNUMBER(SEARCH("T4",coding!$J99)),1,0))</f>
        <v>0</v>
      </c>
      <c r="R99" s="1" t="n">
        <f aca="false">IF(coding!$J99="",0,IF(ISNUMBER(SEARCH("T5",coding!$J99)),1,0))</f>
        <v>0</v>
      </c>
      <c r="S99" s="1" t="n">
        <f aca="false">IF(coding!$J99="",0,IF(ISNUMBER(SEARCH("T6",coding!$J99)),1,0))</f>
        <v>0</v>
      </c>
      <c r="T99" s="1" t="n">
        <f aca="false">IF(coding!$J99="",0,IF(ISNUMBER(SEARCH("T7",coding!$J99)),1,0))</f>
        <v>0</v>
      </c>
      <c r="U99" s="1" t="n">
        <f aca="false">IF(coding!$J99="",0,IF(ISNUMBER(SEARCH("T8",coding!$J99)),1,0))</f>
        <v>0</v>
      </c>
      <c r="V99" s="1" t="n">
        <f aca="false">IF(coding!$J99="",0,IF(ISNUMBER(SEARCH("T9",coding!$J99)),1,0))</f>
        <v>0</v>
      </c>
      <c r="W99" s="1" t="n">
        <f aca="false">IF(coding!$O99="",0,IF(ISNUMBER(SEARCH("T1",coding!$O99)),1,0))</f>
        <v>1</v>
      </c>
      <c r="X99" s="1" t="n">
        <f aca="false">IF(coding!$O99="",0,IF(ISNUMBER(SEARCH("T2",coding!$O99)),1,0))</f>
        <v>0</v>
      </c>
      <c r="Y99" s="1" t="n">
        <f aca="false">IF(coding!$O99="",0,IF(ISNUMBER(SEARCH("T3",coding!$O99)),1,0))</f>
        <v>0</v>
      </c>
      <c r="Z99" s="1" t="n">
        <f aca="false">IF(coding!$O99="",0,IF(ISNUMBER(SEARCH("T4",coding!$O99)),1,0))</f>
        <v>0</v>
      </c>
      <c r="AA99" s="1" t="n">
        <f aca="false">IF(coding!$O99="",0,IF(ISNUMBER(SEARCH("T5",coding!$O99)),1,0))</f>
        <v>0</v>
      </c>
      <c r="AB99" s="1" t="n">
        <f aca="false">IF(coding!$O99="",0,IF(ISNUMBER(SEARCH("T6",coding!$O99)),1,0))</f>
        <v>0</v>
      </c>
      <c r="AC99" s="1" t="n">
        <f aca="false">IF(coding!$O99="",0,IF(ISNUMBER(SEARCH("T7",coding!$O99)),1,0))</f>
        <v>0</v>
      </c>
      <c r="AD99" s="1" t="n">
        <f aca="false">IF(coding!$O99="",0,IF(ISNUMBER(SEARCH("T8",coding!$O99)),1,0))</f>
        <v>0</v>
      </c>
      <c r="AE99" s="1" t="n">
        <f aca="false">IF(coding!$O99="",0,IF(ISNUMBER(SEARCH("T9",coding!$O99)),1,0))</f>
        <v>0</v>
      </c>
      <c r="AF99" s="1" t="n">
        <f aca="false">SUMPRODUCT($E99:$M99,$N99:$V99)</f>
        <v>0</v>
      </c>
      <c r="AG99" s="1" t="n">
        <f aca="false">SUMPRODUCT(--(($E99:$M99+$N99:$V99)&gt;0))</f>
        <v>0</v>
      </c>
      <c r="AH99" s="1" t="str">
        <f aca="false">IF(AND($B99=1,$C99=1),IF($AG99=0,1,$AF99/$AG99),"")</f>
        <v/>
      </c>
      <c r="AI99" s="1" t="str">
        <f aca="false">IF(AND($B99=1,$C99=1),IF(coding!$I99=coding!$J99,1,0),"")</f>
        <v/>
      </c>
      <c r="AJ99" s="1" t="str">
        <f aca="false">IF($B99=1,IF(SUMPRODUCT(--(($E99:$M99+$W99:$AE99)&gt;0))=0,1,SUMPRODUCT($E99:$M99,$W99:$AE99)/SUMPRODUCT(--(($E99:$M99+$W99:$AE99)&gt;0))),"")</f>
        <v/>
      </c>
      <c r="AK99" s="1" t="str">
        <f aca="false">IF($C99=1,IF(SUMPRODUCT(--(($N99:$V99+$W99:$AE99)&gt;0))=0,1,SUMPRODUCT($N99:$V99,$W99:$AE99)/SUMPRODUCT(--(($N99:$V99+$W99:$AE99)&gt;0))),"")</f>
        <v/>
      </c>
    </row>
    <row r="100" customFormat="false" ht="15" hidden="false" customHeight="true" outlineLevel="0" collapsed="false">
      <c r="A100" s="1" t="str">
        <f aca="false">coding!$A100</f>
        <v>P099</v>
      </c>
      <c r="B100" s="1" t="n">
        <f aca="false">IF(coding!$I100="",0,1)</f>
        <v>0</v>
      </c>
      <c r="C100" s="1" t="n">
        <f aca="false">IF(coding!$J100="",0,1)</f>
        <v>0</v>
      </c>
      <c r="D100" s="1" t="n">
        <f aca="false">IF(coding!$O100="",0,1)</f>
        <v>1</v>
      </c>
      <c r="E100" s="1" t="n">
        <f aca="false">IF(coding!$I100="",0,IF(ISNUMBER(SEARCH("T1",coding!$I100)),1,0))</f>
        <v>0</v>
      </c>
      <c r="F100" s="1" t="n">
        <f aca="false">IF(coding!$I100="",0,IF(ISNUMBER(SEARCH("T2",coding!$I100)),1,0))</f>
        <v>0</v>
      </c>
      <c r="G100" s="1" t="n">
        <f aca="false">IF(coding!$I100="",0,IF(ISNUMBER(SEARCH("T3",coding!$I100)),1,0))</f>
        <v>0</v>
      </c>
      <c r="H100" s="1" t="n">
        <f aca="false">IF(coding!$I100="",0,IF(ISNUMBER(SEARCH("T4",coding!$I100)),1,0))</f>
        <v>0</v>
      </c>
      <c r="I100" s="1" t="n">
        <f aca="false">IF(coding!$I100="",0,IF(ISNUMBER(SEARCH("T5",coding!$I100)),1,0))</f>
        <v>0</v>
      </c>
      <c r="J100" s="1" t="n">
        <f aca="false">IF(coding!$I100="",0,IF(ISNUMBER(SEARCH("T6",coding!$I100)),1,0))</f>
        <v>0</v>
      </c>
      <c r="K100" s="1" t="n">
        <f aca="false">IF(coding!$I100="",0,IF(ISNUMBER(SEARCH("T7",coding!$I100)),1,0))</f>
        <v>0</v>
      </c>
      <c r="L100" s="1" t="n">
        <f aca="false">IF(coding!$I100="",0,IF(ISNUMBER(SEARCH("T8",coding!$I100)),1,0))</f>
        <v>0</v>
      </c>
      <c r="M100" s="1" t="n">
        <f aca="false">IF(coding!$I100="",0,IF(ISNUMBER(SEARCH("T9",coding!$I100)),1,0))</f>
        <v>0</v>
      </c>
      <c r="N100" s="1" t="n">
        <f aca="false">IF(coding!$J100="",0,IF(ISNUMBER(SEARCH("T1",coding!$J100)),1,0))</f>
        <v>0</v>
      </c>
      <c r="O100" s="1" t="n">
        <f aca="false">IF(coding!$J100="",0,IF(ISNUMBER(SEARCH("T2",coding!$J100)),1,0))</f>
        <v>0</v>
      </c>
      <c r="P100" s="1" t="n">
        <f aca="false">IF(coding!$J100="",0,IF(ISNUMBER(SEARCH("T3",coding!$J100)),1,0))</f>
        <v>0</v>
      </c>
      <c r="Q100" s="1" t="n">
        <f aca="false">IF(coding!$J100="",0,IF(ISNUMBER(SEARCH("T4",coding!$J100)),1,0))</f>
        <v>0</v>
      </c>
      <c r="R100" s="1" t="n">
        <f aca="false">IF(coding!$J100="",0,IF(ISNUMBER(SEARCH("T5",coding!$J100)),1,0))</f>
        <v>0</v>
      </c>
      <c r="S100" s="1" t="n">
        <f aca="false">IF(coding!$J100="",0,IF(ISNUMBER(SEARCH("T6",coding!$J100)),1,0))</f>
        <v>0</v>
      </c>
      <c r="T100" s="1" t="n">
        <f aca="false">IF(coding!$J100="",0,IF(ISNUMBER(SEARCH("T7",coding!$J100)),1,0))</f>
        <v>0</v>
      </c>
      <c r="U100" s="1" t="n">
        <f aca="false">IF(coding!$J100="",0,IF(ISNUMBER(SEARCH("T8",coding!$J100)),1,0))</f>
        <v>0</v>
      </c>
      <c r="V100" s="1" t="n">
        <f aca="false">IF(coding!$J100="",0,IF(ISNUMBER(SEARCH("T9",coding!$J100)),1,0))</f>
        <v>0</v>
      </c>
      <c r="W100" s="1" t="n">
        <f aca="false">IF(coding!$O100="",0,IF(ISNUMBER(SEARCH("T1",coding!$O100)),1,0))</f>
        <v>0</v>
      </c>
      <c r="X100" s="1" t="n">
        <f aca="false">IF(coding!$O100="",0,IF(ISNUMBER(SEARCH("T2",coding!$O100)),1,0))</f>
        <v>1</v>
      </c>
      <c r="Y100" s="1" t="n">
        <f aca="false">IF(coding!$O100="",0,IF(ISNUMBER(SEARCH("T3",coding!$O100)),1,0))</f>
        <v>0</v>
      </c>
      <c r="Z100" s="1" t="n">
        <f aca="false">IF(coding!$O100="",0,IF(ISNUMBER(SEARCH("T4",coding!$O100)),1,0))</f>
        <v>0</v>
      </c>
      <c r="AA100" s="1" t="n">
        <f aca="false">IF(coding!$O100="",0,IF(ISNUMBER(SEARCH("T5",coding!$O100)),1,0))</f>
        <v>0</v>
      </c>
      <c r="AB100" s="1" t="n">
        <f aca="false">IF(coding!$O100="",0,IF(ISNUMBER(SEARCH("T6",coding!$O100)),1,0))</f>
        <v>0</v>
      </c>
      <c r="AC100" s="1" t="n">
        <f aca="false">IF(coding!$O100="",0,IF(ISNUMBER(SEARCH("T7",coding!$O100)),1,0))</f>
        <v>0</v>
      </c>
      <c r="AD100" s="1" t="n">
        <f aca="false">IF(coding!$O100="",0,IF(ISNUMBER(SEARCH("T8",coding!$O100)),1,0))</f>
        <v>0</v>
      </c>
      <c r="AE100" s="1" t="n">
        <f aca="false">IF(coding!$O100="",0,IF(ISNUMBER(SEARCH("T9",coding!$O100)),1,0))</f>
        <v>0</v>
      </c>
      <c r="AF100" s="1" t="n">
        <f aca="false">SUMPRODUCT($E100:$M100,$N100:$V100)</f>
        <v>0</v>
      </c>
      <c r="AG100" s="1" t="n">
        <f aca="false">SUMPRODUCT(--(($E100:$M100+$N100:$V100)&gt;0))</f>
        <v>0</v>
      </c>
      <c r="AH100" s="1" t="str">
        <f aca="false">IF(AND($B100=1,$C100=1),IF($AG100=0,1,$AF100/$AG100),"")</f>
        <v/>
      </c>
      <c r="AI100" s="1" t="str">
        <f aca="false">IF(AND($B100=1,$C100=1),IF(coding!$I100=coding!$J100,1,0),"")</f>
        <v/>
      </c>
      <c r="AJ100" s="1" t="str">
        <f aca="false">IF($B100=1,IF(SUMPRODUCT(--(($E100:$M100+$W100:$AE100)&gt;0))=0,1,SUMPRODUCT($E100:$M100,$W100:$AE100)/SUMPRODUCT(--(($E100:$M100+$W100:$AE100)&gt;0))),"")</f>
        <v/>
      </c>
      <c r="AK100" s="1" t="str">
        <f aca="false">IF($C100=1,IF(SUMPRODUCT(--(($N100:$V100+$W100:$AE100)&gt;0))=0,1,SUMPRODUCT($N100:$V100,$W100:$AE100)/SUMPRODUCT(--(($N100:$V100+$W100:$AE100)&gt;0))),"")</f>
        <v/>
      </c>
    </row>
    <row r="101" customFormat="false" ht="15" hidden="false" customHeight="true" outlineLevel="0" collapsed="false">
      <c r="A101" s="1" t="str">
        <f aca="false">coding!$A101</f>
        <v>P100</v>
      </c>
      <c r="B101" s="1" t="n">
        <f aca="false">IF(coding!$I101="",0,1)</f>
        <v>0</v>
      </c>
      <c r="C101" s="1" t="n">
        <f aca="false">IF(coding!$J101="",0,1)</f>
        <v>0</v>
      </c>
      <c r="D101" s="1" t="n">
        <f aca="false">IF(coding!$O101="",0,1)</f>
        <v>1</v>
      </c>
      <c r="E101" s="1" t="n">
        <f aca="false">IF(coding!$I101="",0,IF(ISNUMBER(SEARCH("T1",coding!$I101)),1,0))</f>
        <v>0</v>
      </c>
      <c r="F101" s="1" t="n">
        <f aca="false">IF(coding!$I101="",0,IF(ISNUMBER(SEARCH("T2",coding!$I101)),1,0))</f>
        <v>0</v>
      </c>
      <c r="G101" s="1" t="n">
        <f aca="false">IF(coding!$I101="",0,IF(ISNUMBER(SEARCH("T3",coding!$I101)),1,0))</f>
        <v>0</v>
      </c>
      <c r="H101" s="1" t="n">
        <f aca="false">IF(coding!$I101="",0,IF(ISNUMBER(SEARCH("T4",coding!$I101)),1,0))</f>
        <v>0</v>
      </c>
      <c r="I101" s="1" t="n">
        <f aca="false">IF(coding!$I101="",0,IF(ISNUMBER(SEARCH("T5",coding!$I101)),1,0))</f>
        <v>0</v>
      </c>
      <c r="J101" s="1" t="n">
        <f aca="false">IF(coding!$I101="",0,IF(ISNUMBER(SEARCH("T6",coding!$I101)),1,0))</f>
        <v>0</v>
      </c>
      <c r="K101" s="1" t="n">
        <f aca="false">IF(coding!$I101="",0,IF(ISNUMBER(SEARCH("T7",coding!$I101)),1,0))</f>
        <v>0</v>
      </c>
      <c r="L101" s="1" t="n">
        <f aca="false">IF(coding!$I101="",0,IF(ISNUMBER(SEARCH("T8",coding!$I101)),1,0))</f>
        <v>0</v>
      </c>
      <c r="M101" s="1" t="n">
        <f aca="false">IF(coding!$I101="",0,IF(ISNUMBER(SEARCH("T9",coding!$I101)),1,0))</f>
        <v>0</v>
      </c>
      <c r="N101" s="1" t="n">
        <f aca="false">IF(coding!$J101="",0,IF(ISNUMBER(SEARCH("T1",coding!$J101)),1,0))</f>
        <v>0</v>
      </c>
      <c r="O101" s="1" t="n">
        <f aca="false">IF(coding!$J101="",0,IF(ISNUMBER(SEARCH("T2",coding!$J101)),1,0))</f>
        <v>0</v>
      </c>
      <c r="P101" s="1" t="n">
        <f aca="false">IF(coding!$J101="",0,IF(ISNUMBER(SEARCH("T3",coding!$J101)),1,0))</f>
        <v>0</v>
      </c>
      <c r="Q101" s="1" t="n">
        <f aca="false">IF(coding!$J101="",0,IF(ISNUMBER(SEARCH("T4",coding!$J101)),1,0))</f>
        <v>0</v>
      </c>
      <c r="R101" s="1" t="n">
        <f aca="false">IF(coding!$J101="",0,IF(ISNUMBER(SEARCH("T5",coding!$J101)),1,0))</f>
        <v>0</v>
      </c>
      <c r="S101" s="1" t="n">
        <f aca="false">IF(coding!$J101="",0,IF(ISNUMBER(SEARCH("T6",coding!$J101)),1,0))</f>
        <v>0</v>
      </c>
      <c r="T101" s="1" t="n">
        <f aca="false">IF(coding!$J101="",0,IF(ISNUMBER(SEARCH("T7",coding!$J101)),1,0))</f>
        <v>0</v>
      </c>
      <c r="U101" s="1" t="n">
        <f aca="false">IF(coding!$J101="",0,IF(ISNUMBER(SEARCH("T8",coding!$J101)),1,0))</f>
        <v>0</v>
      </c>
      <c r="V101" s="1" t="n">
        <f aca="false">IF(coding!$J101="",0,IF(ISNUMBER(SEARCH("T9",coding!$J101)),1,0))</f>
        <v>0</v>
      </c>
      <c r="W101" s="1" t="n">
        <f aca="false">IF(coding!$O101="",0,IF(ISNUMBER(SEARCH("T1",coding!$O101)),1,0))</f>
        <v>1</v>
      </c>
      <c r="X101" s="1" t="n">
        <f aca="false">IF(coding!$O101="",0,IF(ISNUMBER(SEARCH("T2",coding!$O101)),1,0))</f>
        <v>0</v>
      </c>
      <c r="Y101" s="1" t="n">
        <f aca="false">IF(coding!$O101="",0,IF(ISNUMBER(SEARCH("T3",coding!$O101)),1,0))</f>
        <v>0</v>
      </c>
      <c r="Z101" s="1" t="n">
        <f aca="false">IF(coding!$O101="",0,IF(ISNUMBER(SEARCH("T4",coding!$O101)),1,0))</f>
        <v>0</v>
      </c>
      <c r="AA101" s="1" t="n">
        <f aca="false">IF(coding!$O101="",0,IF(ISNUMBER(SEARCH("T5",coding!$O101)),1,0))</f>
        <v>0</v>
      </c>
      <c r="AB101" s="1" t="n">
        <f aca="false">IF(coding!$O101="",0,IF(ISNUMBER(SEARCH("T6",coding!$O101)),1,0))</f>
        <v>0</v>
      </c>
      <c r="AC101" s="1" t="n">
        <f aca="false">IF(coding!$O101="",0,IF(ISNUMBER(SEARCH("T7",coding!$O101)),1,0))</f>
        <v>0</v>
      </c>
      <c r="AD101" s="1" t="n">
        <f aca="false">IF(coding!$O101="",0,IF(ISNUMBER(SEARCH("T8",coding!$O101)),1,0))</f>
        <v>0</v>
      </c>
      <c r="AE101" s="1" t="n">
        <f aca="false">IF(coding!$O101="",0,IF(ISNUMBER(SEARCH("T9",coding!$O101)),1,0))</f>
        <v>0</v>
      </c>
      <c r="AF101" s="1" t="n">
        <f aca="false">SUMPRODUCT($E101:$M101,$N101:$V101)</f>
        <v>0</v>
      </c>
      <c r="AG101" s="1" t="n">
        <f aca="false">SUMPRODUCT(--(($E101:$M101+$N101:$V101)&gt;0))</f>
        <v>0</v>
      </c>
      <c r="AH101" s="1" t="str">
        <f aca="false">IF(AND($B101=1,$C101=1),IF($AG101=0,1,$AF101/$AG101),"")</f>
        <v/>
      </c>
      <c r="AI101" s="1" t="str">
        <f aca="false">IF(AND($B101=1,$C101=1),IF(coding!$I101=coding!$J101,1,0),"")</f>
        <v/>
      </c>
      <c r="AJ101" s="1" t="str">
        <f aca="false">IF($B101=1,IF(SUMPRODUCT(--(($E101:$M101+$W101:$AE101)&gt;0))=0,1,SUMPRODUCT($E101:$M101,$W101:$AE101)/SUMPRODUCT(--(($E101:$M101+$W101:$AE101)&gt;0))),"")</f>
        <v/>
      </c>
      <c r="AK101" s="1" t="str">
        <f aca="false">IF($C101=1,IF(SUMPRODUCT(--(($N101:$V101+$W101:$AE101)&gt;0))=0,1,SUMPRODUCT($N101:$V101,$W101:$AE101)/SUMPRODUCT(--(($N101:$V101+$W101:$AE101)&gt;0))),"")</f>
        <v/>
      </c>
    </row>
    <row r="102" customFormat="false" ht="15" hidden="false" customHeight="true" outlineLevel="0" collapsed="false">
      <c r="A102" s="1" t="str">
        <f aca="false">coding!$A102</f>
        <v>P101</v>
      </c>
      <c r="B102" s="1" t="n">
        <f aca="false">IF(coding!$I102="",0,1)</f>
        <v>0</v>
      </c>
      <c r="C102" s="1" t="n">
        <f aca="false">IF(coding!$J102="",0,1)</f>
        <v>0</v>
      </c>
      <c r="D102" s="1" t="n">
        <f aca="false">IF(coding!$O102="",0,1)</f>
        <v>1</v>
      </c>
      <c r="E102" s="1" t="n">
        <f aca="false">IF(coding!$I102="",0,IF(ISNUMBER(SEARCH("T1",coding!$I102)),1,0))</f>
        <v>0</v>
      </c>
      <c r="F102" s="1" t="n">
        <f aca="false">IF(coding!$I102="",0,IF(ISNUMBER(SEARCH("T2",coding!$I102)),1,0))</f>
        <v>0</v>
      </c>
      <c r="G102" s="1" t="n">
        <f aca="false">IF(coding!$I102="",0,IF(ISNUMBER(SEARCH("T3",coding!$I102)),1,0))</f>
        <v>0</v>
      </c>
      <c r="H102" s="1" t="n">
        <f aca="false">IF(coding!$I102="",0,IF(ISNUMBER(SEARCH("T4",coding!$I102)),1,0))</f>
        <v>0</v>
      </c>
      <c r="I102" s="1" t="n">
        <f aca="false">IF(coding!$I102="",0,IF(ISNUMBER(SEARCH("T5",coding!$I102)),1,0))</f>
        <v>0</v>
      </c>
      <c r="J102" s="1" t="n">
        <f aca="false">IF(coding!$I102="",0,IF(ISNUMBER(SEARCH("T6",coding!$I102)),1,0))</f>
        <v>0</v>
      </c>
      <c r="K102" s="1" t="n">
        <f aca="false">IF(coding!$I102="",0,IF(ISNUMBER(SEARCH("T7",coding!$I102)),1,0))</f>
        <v>0</v>
      </c>
      <c r="L102" s="1" t="n">
        <f aca="false">IF(coding!$I102="",0,IF(ISNUMBER(SEARCH("T8",coding!$I102)),1,0))</f>
        <v>0</v>
      </c>
      <c r="M102" s="1" t="n">
        <f aca="false">IF(coding!$I102="",0,IF(ISNUMBER(SEARCH("T9",coding!$I102)),1,0))</f>
        <v>0</v>
      </c>
      <c r="N102" s="1" t="n">
        <f aca="false">IF(coding!$J102="",0,IF(ISNUMBER(SEARCH("T1",coding!$J102)),1,0))</f>
        <v>0</v>
      </c>
      <c r="O102" s="1" t="n">
        <f aca="false">IF(coding!$J102="",0,IF(ISNUMBER(SEARCH("T2",coding!$J102)),1,0))</f>
        <v>0</v>
      </c>
      <c r="P102" s="1" t="n">
        <f aca="false">IF(coding!$J102="",0,IF(ISNUMBER(SEARCH("T3",coding!$J102)),1,0))</f>
        <v>0</v>
      </c>
      <c r="Q102" s="1" t="n">
        <f aca="false">IF(coding!$J102="",0,IF(ISNUMBER(SEARCH("T4",coding!$J102)),1,0))</f>
        <v>0</v>
      </c>
      <c r="R102" s="1" t="n">
        <f aca="false">IF(coding!$J102="",0,IF(ISNUMBER(SEARCH("T5",coding!$J102)),1,0))</f>
        <v>0</v>
      </c>
      <c r="S102" s="1" t="n">
        <f aca="false">IF(coding!$J102="",0,IF(ISNUMBER(SEARCH("T6",coding!$J102)),1,0))</f>
        <v>0</v>
      </c>
      <c r="T102" s="1" t="n">
        <f aca="false">IF(coding!$J102="",0,IF(ISNUMBER(SEARCH("T7",coding!$J102)),1,0))</f>
        <v>0</v>
      </c>
      <c r="U102" s="1" t="n">
        <f aca="false">IF(coding!$J102="",0,IF(ISNUMBER(SEARCH("T8",coding!$J102)),1,0))</f>
        <v>0</v>
      </c>
      <c r="V102" s="1" t="n">
        <f aca="false">IF(coding!$J102="",0,IF(ISNUMBER(SEARCH("T9",coding!$J102)),1,0))</f>
        <v>0</v>
      </c>
      <c r="W102" s="1" t="n">
        <f aca="false">IF(coding!$O102="",0,IF(ISNUMBER(SEARCH("T1",coding!$O102)),1,0))</f>
        <v>1</v>
      </c>
      <c r="X102" s="1" t="n">
        <f aca="false">IF(coding!$O102="",0,IF(ISNUMBER(SEARCH("T2",coding!$O102)),1,0))</f>
        <v>1</v>
      </c>
      <c r="Y102" s="1" t="n">
        <f aca="false">IF(coding!$O102="",0,IF(ISNUMBER(SEARCH("T3",coding!$O102)),1,0))</f>
        <v>0</v>
      </c>
      <c r="Z102" s="1" t="n">
        <f aca="false">IF(coding!$O102="",0,IF(ISNUMBER(SEARCH("T4",coding!$O102)),1,0))</f>
        <v>0</v>
      </c>
      <c r="AA102" s="1" t="n">
        <f aca="false">IF(coding!$O102="",0,IF(ISNUMBER(SEARCH("T5",coding!$O102)),1,0))</f>
        <v>0</v>
      </c>
      <c r="AB102" s="1" t="n">
        <f aca="false">IF(coding!$O102="",0,IF(ISNUMBER(SEARCH("T6",coding!$O102)),1,0))</f>
        <v>0</v>
      </c>
      <c r="AC102" s="1" t="n">
        <f aca="false">IF(coding!$O102="",0,IF(ISNUMBER(SEARCH("T7",coding!$O102)),1,0))</f>
        <v>0</v>
      </c>
      <c r="AD102" s="1" t="n">
        <f aca="false">IF(coding!$O102="",0,IF(ISNUMBER(SEARCH("T8",coding!$O102)),1,0))</f>
        <v>0</v>
      </c>
      <c r="AE102" s="1" t="n">
        <f aca="false">IF(coding!$O102="",0,IF(ISNUMBER(SEARCH("T9",coding!$O102)),1,0))</f>
        <v>0</v>
      </c>
      <c r="AF102" s="1" t="n">
        <f aca="false">SUMPRODUCT($E102:$M102,$N102:$V102)</f>
        <v>0</v>
      </c>
      <c r="AG102" s="1" t="n">
        <f aca="false">SUMPRODUCT(--(($E102:$M102+$N102:$V102)&gt;0))</f>
        <v>0</v>
      </c>
      <c r="AH102" s="1" t="str">
        <f aca="false">IF(AND($B102=1,$C102=1),IF($AG102=0,1,$AF102/$AG102),"")</f>
        <v/>
      </c>
      <c r="AI102" s="1" t="str">
        <f aca="false">IF(AND($B102=1,$C102=1),IF(coding!$I102=coding!$J102,1,0),"")</f>
        <v/>
      </c>
      <c r="AJ102" s="1" t="str">
        <f aca="false">IF($B102=1,IF(SUMPRODUCT(--(($E102:$M102+$W102:$AE102)&gt;0))=0,1,SUMPRODUCT($E102:$M102,$W102:$AE102)/SUMPRODUCT(--(($E102:$M102+$W102:$AE102)&gt;0))),"")</f>
        <v/>
      </c>
      <c r="AK102" s="1" t="str">
        <f aca="false">IF($C102=1,IF(SUMPRODUCT(--(($N102:$V102+$W102:$AE102)&gt;0))=0,1,SUMPRODUCT($N102:$V102,$W102:$AE102)/SUMPRODUCT(--(($N102:$V102+$W102:$AE102)&gt;0))),"")</f>
        <v/>
      </c>
    </row>
    <row r="103" customFormat="false" ht="15" hidden="false" customHeight="true" outlineLevel="0" collapsed="false">
      <c r="A103" s="1" t="str">
        <f aca="false">coding!$A103</f>
        <v>P102</v>
      </c>
      <c r="B103" s="1" t="n">
        <f aca="false">IF(coding!$I103="",0,1)</f>
        <v>0</v>
      </c>
      <c r="C103" s="1" t="n">
        <f aca="false">IF(coding!$J103="",0,1)</f>
        <v>0</v>
      </c>
      <c r="D103" s="1" t="n">
        <f aca="false">IF(coding!$O103="",0,1)</f>
        <v>1</v>
      </c>
      <c r="E103" s="1" t="n">
        <f aca="false">IF(coding!$I103="",0,IF(ISNUMBER(SEARCH("T1",coding!$I103)),1,0))</f>
        <v>0</v>
      </c>
      <c r="F103" s="1" t="n">
        <f aca="false">IF(coding!$I103="",0,IF(ISNUMBER(SEARCH("T2",coding!$I103)),1,0))</f>
        <v>0</v>
      </c>
      <c r="G103" s="1" t="n">
        <f aca="false">IF(coding!$I103="",0,IF(ISNUMBER(SEARCH("T3",coding!$I103)),1,0))</f>
        <v>0</v>
      </c>
      <c r="H103" s="1" t="n">
        <f aca="false">IF(coding!$I103="",0,IF(ISNUMBER(SEARCH("T4",coding!$I103)),1,0))</f>
        <v>0</v>
      </c>
      <c r="I103" s="1" t="n">
        <f aca="false">IF(coding!$I103="",0,IF(ISNUMBER(SEARCH("T5",coding!$I103)),1,0))</f>
        <v>0</v>
      </c>
      <c r="J103" s="1" t="n">
        <f aca="false">IF(coding!$I103="",0,IF(ISNUMBER(SEARCH("T6",coding!$I103)),1,0))</f>
        <v>0</v>
      </c>
      <c r="K103" s="1" t="n">
        <f aca="false">IF(coding!$I103="",0,IF(ISNUMBER(SEARCH("T7",coding!$I103)),1,0))</f>
        <v>0</v>
      </c>
      <c r="L103" s="1" t="n">
        <f aca="false">IF(coding!$I103="",0,IF(ISNUMBER(SEARCH("T8",coding!$I103)),1,0))</f>
        <v>0</v>
      </c>
      <c r="M103" s="1" t="n">
        <f aca="false">IF(coding!$I103="",0,IF(ISNUMBER(SEARCH("T9",coding!$I103)),1,0))</f>
        <v>0</v>
      </c>
      <c r="N103" s="1" t="n">
        <f aca="false">IF(coding!$J103="",0,IF(ISNUMBER(SEARCH("T1",coding!$J103)),1,0))</f>
        <v>0</v>
      </c>
      <c r="O103" s="1" t="n">
        <f aca="false">IF(coding!$J103="",0,IF(ISNUMBER(SEARCH("T2",coding!$J103)),1,0))</f>
        <v>0</v>
      </c>
      <c r="P103" s="1" t="n">
        <f aca="false">IF(coding!$J103="",0,IF(ISNUMBER(SEARCH("T3",coding!$J103)),1,0))</f>
        <v>0</v>
      </c>
      <c r="Q103" s="1" t="n">
        <f aca="false">IF(coding!$J103="",0,IF(ISNUMBER(SEARCH("T4",coding!$J103)),1,0))</f>
        <v>0</v>
      </c>
      <c r="R103" s="1" t="n">
        <f aca="false">IF(coding!$J103="",0,IF(ISNUMBER(SEARCH("T5",coding!$J103)),1,0))</f>
        <v>0</v>
      </c>
      <c r="S103" s="1" t="n">
        <f aca="false">IF(coding!$J103="",0,IF(ISNUMBER(SEARCH("T6",coding!$J103)),1,0))</f>
        <v>0</v>
      </c>
      <c r="T103" s="1" t="n">
        <f aca="false">IF(coding!$J103="",0,IF(ISNUMBER(SEARCH("T7",coding!$J103)),1,0))</f>
        <v>0</v>
      </c>
      <c r="U103" s="1" t="n">
        <f aca="false">IF(coding!$J103="",0,IF(ISNUMBER(SEARCH("T8",coding!$J103)),1,0))</f>
        <v>0</v>
      </c>
      <c r="V103" s="1" t="n">
        <f aca="false">IF(coding!$J103="",0,IF(ISNUMBER(SEARCH("T9",coding!$J103)),1,0))</f>
        <v>0</v>
      </c>
      <c r="W103" s="1" t="n">
        <f aca="false">IF(coding!$O103="",0,IF(ISNUMBER(SEARCH("T1",coding!$O103)),1,0))</f>
        <v>1</v>
      </c>
      <c r="X103" s="1" t="n">
        <f aca="false">IF(coding!$O103="",0,IF(ISNUMBER(SEARCH("T2",coding!$O103)),1,0))</f>
        <v>1</v>
      </c>
      <c r="Y103" s="1" t="n">
        <f aca="false">IF(coding!$O103="",0,IF(ISNUMBER(SEARCH("T3",coding!$O103)),1,0))</f>
        <v>0</v>
      </c>
      <c r="Z103" s="1" t="n">
        <f aca="false">IF(coding!$O103="",0,IF(ISNUMBER(SEARCH("T4",coding!$O103)),1,0))</f>
        <v>0</v>
      </c>
      <c r="AA103" s="1" t="n">
        <f aca="false">IF(coding!$O103="",0,IF(ISNUMBER(SEARCH("T5",coding!$O103)),1,0))</f>
        <v>0</v>
      </c>
      <c r="AB103" s="1" t="n">
        <f aca="false">IF(coding!$O103="",0,IF(ISNUMBER(SEARCH("T6",coding!$O103)),1,0))</f>
        <v>0</v>
      </c>
      <c r="AC103" s="1" t="n">
        <f aca="false">IF(coding!$O103="",0,IF(ISNUMBER(SEARCH("T7",coding!$O103)),1,0))</f>
        <v>0</v>
      </c>
      <c r="AD103" s="1" t="n">
        <f aca="false">IF(coding!$O103="",0,IF(ISNUMBER(SEARCH("T8",coding!$O103)),1,0))</f>
        <v>0</v>
      </c>
      <c r="AE103" s="1" t="n">
        <f aca="false">IF(coding!$O103="",0,IF(ISNUMBER(SEARCH("T9",coding!$O103)),1,0))</f>
        <v>0</v>
      </c>
      <c r="AF103" s="1" t="n">
        <f aca="false">SUMPRODUCT($E103:$M103,$N103:$V103)</f>
        <v>0</v>
      </c>
      <c r="AG103" s="1" t="n">
        <f aca="false">SUMPRODUCT(--(($E103:$M103+$N103:$V103)&gt;0))</f>
        <v>0</v>
      </c>
      <c r="AH103" s="1" t="str">
        <f aca="false">IF(AND($B103=1,$C103=1),IF($AG103=0,1,$AF103/$AG103),"")</f>
        <v/>
      </c>
      <c r="AI103" s="1" t="str">
        <f aca="false">IF(AND($B103=1,$C103=1),IF(coding!$I103=coding!$J103,1,0),"")</f>
        <v/>
      </c>
      <c r="AJ103" s="1" t="str">
        <f aca="false">IF($B103=1,IF(SUMPRODUCT(--(($E103:$M103+$W103:$AE103)&gt;0))=0,1,SUMPRODUCT($E103:$M103,$W103:$AE103)/SUMPRODUCT(--(($E103:$M103+$W103:$AE103)&gt;0))),"")</f>
        <v/>
      </c>
      <c r="AK103" s="1" t="str">
        <f aca="false">IF($C103=1,IF(SUMPRODUCT(--(($N103:$V103+$W103:$AE103)&gt;0))=0,1,SUMPRODUCT($N103:$V103,$W103:$AE103)/SUMPRODUCT(--(($N103:$V103+$W103:$AE103)&gt;0))),"")</f>
        <v/>
      </c>
    </row>
    <row r="104" customFormat="false" ht="15" hidden="false" customHeight="true" outlineLevel="0" collapsed="false">
      <c r="A104" s="1" t="str">
        <f aca="false">coding!$A104</f>
        <v>P103</v>
      </c>
      <c r="B104" s="1" t="n">
        <f aca="false">IF(coding!$I104="",0,1)</f>
        <v>0</v>
      </c>
      <c r="C104" s="1" t="n">
        <f aca="false">IF(coding!$J104="",0,1)</f>
        <v>0</v>
      </c>
      <c r="D104" s="1" t="n">
        <f aca="false">IF(coding!$O104="",0,1)</f>
        <v>1</v>
      </c>
      <c r="E104" s="1" t="n">
        <f aca="false">IF(coding!$I104="",0,IF(ISNUMBER(SEARCH("T1",coding!$I104)),1,0))</f>
        <v>0</v>
      </c>
      <c r="F104" s="1" t="n">
        <f aca="false">IF(coding!$I104="",0,IF(ISNUMBER(SEARCH("T2",coding!$I104)),1,0))</f>
        <v>0</v>
      </c>
      <c r="G104" s="1" t="n">
        <f aca="false">IF(coding!$I104="",0,IF(ISNUMBER(SEARCH("T3",coding!$I104)),1,0))</f>
        <v>0</v>
      </c>
      <c r="H104" s="1" t="n">
        <f aca="false">IF(coding!$I104="",0,IF(ISNUMBER(SEARCH("T4",coding!$I104)),1,0))</f>
        <v>0</v>
      </c>
      <c r="I104" s="1" t="n">
        <f aca="false">IF(coding!$I104="",0,IF(ISNUMBER(SEARCH("T5",coding!$I104)),1,0))</f>
        <v>0</v>
      </c>
      <c r="J104" s="1" t="n">
        <f aca="false">IF(coding!$I104="",0,IF(ISNUMBER(SEARCH("T6",coding!$I104)),1,0))</f>
        <v>0</v>
      </c>
      <c r="K104" s="1" t="n">
        <f aca="false">IF(coding!$I104="",0,IF(ISNUMBER(SEARCH("T7",coding!$I104)),1,0))</f>
        <v>0</v>
      </c>
      <c r="L104" s="1" t="n">
        <f aca="false">IF(coding!$I104="",0,IF(ISNUMBER(SEARCH("T8",coding!$I104)),1,0))</f>
        <v>0</v>
      </c>
      <c r="M104" s="1" t="n">
        <f aca="false">IF(coding!$I104="",0,IF(ISNUMBER(SEARCH("T9",coding!$I104)),1,0))</f>
        <v>0</v>
      </c>
      <c r="N104" s="1" t="n">
        <f aca="false">IF(coding!$J104="",0,IF(ISNUMBER(SEARCH("T1",coding!$J104)),1,0))</f>
        <v>0</v>
      </c>
      <c r="O104" s="1" t="n">
        <f aca="false">IF(coding!$J104="",0,IF(ISNUMBER(SEARCH("T2",coding!$J104)),1,0))</f>
        <v>0</v>
      </c>
      <c r="P104" s="1" t="n">
        <f aca="false">IF(coding!$J104="",0,IF(ISNUMBER(SEARCH("T3",coding!$J104)),1,0))</f>
        <v>0</v>
      </c>
      <c r="Q104" s="1" t="n">
        <f aca="false">IF(coding!$J104="",0,IF(ISNUMBER(SEARCH("T4",coding!$J104)),1,0))</f>
        <v>0</v>
      </c>
      <c r="R104" s="1" t="n">
        <f aca="false">IF(coding!$J104="",0,IF(ISNUMBER(SEARCH("T5",coding!$J104)),1,0))</f>
        <v>0</v>
      </c>
      <c r="S104" s="1" t="n">
        <f aca="false">IF(coding!$J104="",0,IF(ISNUMBER(SEARCH("T6",coding!$J104)),1,0))</f>
        <v>0</v>
      </c>
      <c r="T104" s="1" t="n">
        <f aca="false">IF(coding!$J104="",0,IF(ISNUMBER(SEARCH("T7",coding!$J104)),1,0))</f>
        <v>0</v>
      </c>
      <c r="U104" s="1" t="n">
        <f aca="false">IF(coding!$J104="",0,IF(ISNUMBER(SEARCH("T8",coding!$J104)),1,0))</f>
        <v>0</v>
      </c>
      <c r="V104" s="1" t="n">
        <f aca="false">IF(coding!$J104="",0,IF(ISNUMBER(SEARCH("T9",coding!$J104)),1,0))</f>
        <v>0</v>
      </c>
      <c r="W104" s="1" t="n">
        <f aca="false">IF(coding!$O104="",0,IF(ISNUMBER(SEARCH("T1",coding!$O104)),1,0))</f>
        <v>1</v>
      </c>
      <c r="X104" s="1" t="n">
        <f aca="false">IF(coding!$O104="",0,IF(ISNUMBER(SEARCH("T2",coding!$O104)),1,0))</f>
        <v>1</v>
      </c>
      <c r="Y104" s="1" t="n">
        <f aca="false">IF(coding!$O104="",0,IF(ISNUMBER(SEARCH("T3",coding!$O104)),1,0))</f>
        <v>0</v>
      </c>
      <c r="Z104" s="1" t="n">
        <f aca="false">IF(coding!$O104="",0,IF(ISNUMBER(SEARCH("T4",coding!$O104)),1,0))</f>
        <v>0</v>
      </c>
      <c r="AA104" s="1" t="n">
        <f aca="false">IF(coding!$O104="",0,IF(ISNUMBER(SEARCH("T5",coding!$O104)),1,0))</f>
        <v>0</v>
      </c>
      <c r="AB104" s="1" t="n">
        <f aca="false">IF(coding!$O104="",0,IF(ISNUMBER(SEARCH("T6",coding!$O104)),1,0))</f>
        <v>0</v>
      </c>
      <c r="AC104" s="1" t="n">
        <f aca="false">IF(coding!$O104="",0,IF(ISNUMBER(SEARCH("T7",coding!$O104)),1,0))</f>
        <v>0</v>
      </c>
      <c r="AD104" s="1" t="n">
        <f aca="false">IF(coding!$O104="",0,IF(ISNUMBER(SEARCH("T8",coding!$O104)),1,0))</f>
        <v>0</v>
      </c>
      <c r="AE104" s="1" t="n">
        <f aca="false">IF(coding!$O104="",0,IF(ISNUMBER(SEARCH("T9",coding!$O104)),1,0))</f>
        <v>0</v>
      </c>
      <c r="AF104" s="1" t="n">
        <f aca="false">SUMPRODUCT($E104:$M104,$N104:$V104)</f>
        <v>0</v>
      </c>
      <c r="AG104" s="1" t="n">
        <f aca="false">SUMPRODUCT(--(($E104:$M104+$N104:$V104)&gt;0))</f>
        <v>0</v>
      </c>
      <c r="AH104" s="1" t="str">
        <f aca="false">IF(AND($B104=1,$C104=1),IF($AG104=0,1,$AF104/$AG104),"")</f>
        <v/>
      </c>
      <c r="AI104" s="1" t="str">
        <f aca="false">IF(AND($B104=1,$C104=1),IF(coding!$I104=coding!$J104,1,0),"")</f>
        <v/>
      </c>
      <c r="AJ104" s="1" t="str">
        <f aca="false">IF($B104=1,IF(SUMPRODUCT(--(($E104:$M104+$W104:$AE104)&gt;0))=0,1,SUMPRODUCT($E104:$M104,$W104:$AE104)/SUMPRODUCT(--(($E104:$M104+$W104:$AE104)&gt;0))),"")</f>
        <v/>
      </c>
      <c r="AK104" s="1" t="str">
        <f aca="false">IF($C104=1,IF(SUMPRODUCT(--(($N104:$V104+$W104:$AE104)&gt;0))=0,1,SUMPRODUCT($N104:$V104,$W104:$AE104)/SUMPRODUCT(--(($N104:$V104+$W104:$AE104)&gt;0))),"")</f>
        <v/>
      </c>
    </row>
    <row r="105" customFormat="false" ht="15" hidden="false" customHeight="true" outlineLevel="0" collapsed="false">
      <c r="A105" s="1" t="str">
        <f aca="false">coding!$A105</f>
        <v>P104</v>
      </c>
      <c r="B105" s="1" t="n">
        <f aca="false">IF(coding!$I105="",0,1)</f>
        <v>0</v>
      </c>
      <c r="C105" s="1" t="n">
        <f aca="false">IF(coding!$J105="",0,1)</f>
        <v>0</v>
      </c>
      <c r="D105" s="1" t="n">
        <f aca="false">IF(coding!$O105="",0,1)</f>
        <v>1</v>
      </c>
      <c r="E105" s="1" t="n">
        <f aca="false">IF(coding!$I105="",0,IF(ISNUMBER(SEARCH("T1",coding!$I105)),1,0))</f>
        <v>0</v>
      </c>
      <c r="F105" s="1" t="n">
        <f aca="false">IF(coding!$I105="",0,IF(ISNUMBER(SEARCH("T2",coding!$I105)),1,0))</f>
        <v>0</v>
      </c>
      <c r="G105" s="1" t="n">
        <f aca="false">IF(coding!$I105="",0,IF(ISNUMBER(SEARCH("T3",coding!$I105)),1,0))</f>
        <v>0</v>
      </c>
      <c r="H105" s="1" t="n">
        <f aca="false">IF(coding!$I105="",0,IF(ISNUMBER(SEARCH("T4",coding!$I105)),1,0))</f>
        <v>0</v>
      </c>
      <c r="I105" s="1" t="n">
        <f aca="false">IF(coding!$I105="",0,IF(ISNUMBER(SEARCH("T5",coding!$I105)),1,0))</f>
        <v>0</v>
      </c>
      <c r="J105" s="1" t="n">
        <f aca="false">IF(coding!$I105="",0,IF(ISNUMBER(SEARCH("T6",coding!$I105)),1,0))</f>
        <v>0</v>
      </c>
      <c r="K105" s="1" t="n">
        <f aca="false">IF(coding!$I105="",0,IF(ISNUMBER(SEARCH("T7",coding!$I105)),1,0))</f>
        <v>0</v>
      </c>
      <c r="L105" s="1" t="n">
        <f aca="false">IF(coding!$I105="",0,IF(ISNUMBER(SEARCH("T8",coding!$I105)),1,0))</f>
        <v>0</v>
      </c>
      <c r="M105" s="1" t="n">
        <f aca="false">IF(coding!$I105="",0,IF(ISNUMBER(SEARCH("T9",coding!$I105)),1,0))</f>
        <v>0</v>
      </c>
      <c r="N105" s="1" t="n">
        <f aca="false">IF(coding!$J105="",0,IF(ISNUMBER(SEARCH("T1",coding!$J105)),1,0))</f>
        <v>0</v>
      </c>
      <c r="O105" s="1" t="n">
        <f aca="false">IF(coding!$J105="",0,IF(ISNUMBER(SEARCH("T2",coding!$J105)),1,0))</f>
        <v>0</v>
      </c>
      <c r="P105" s="1" t="n">
        <f aca="false">IF(coding!$J105="",0,IF(ISNUMBER(SEARCH("T3",coding!$J105)),1,0))</f>
        <v>0</v>
      </c>
      <c r="Q105" s="1" t="n">
        <f aca="false">IF(coding!$J105="",0,IF(ISNUMBER(SEARCH("T4",coding!$J105)),1,0))</f>
        <v>0</v>
      </c>
      <c r="R105" s="1" t="n">
        <f aca="false">IF(coding!$J105="",0,IF(ISNUMBER(SEARCH("T5",coding!$J105)),1,0))</f>
        <v>0</v>
      </c>
      <c r="S105" s="1" t="n">
        <f aca="false">IF(coding!$J105="",0,IF(ISNUMBER(SEARCH("T6",coding!$J105)),1,0))</f>
        <v>0</v>
      </c>
      <c r="T105" s="1" t="n">
        <f aca="false">IF(coding!$J105="",0,IF(ISNUMBER(SEARCH("T7",coding!$J105)),1,0))</f>
        <v>0</v>
      </c>
      <c r="U105" s="1" t="n">
        <f aca="false">IF(coding!$J105="",0,IF(ISNUMBER(SEARCH("T8",coding!$J105)),1,0))</f>
        <v>0</v>
      </c>
      <c r="V105" s="1" t="n">
        <f aca="false">IF(coding!$J105="",0,IF(ISNUMBER(SEARCH("T9",coding!$J105)),1,0))</f>
        <v>0</v>
      </c>
      <c r="W105" s="1" t="n">
        <f aca="false">IF(coding!$O105="",0,IF(ISNUMBER(SEARCH("T1",coding!$O105)),1,0))</f>
        <v>1</v>
      </c>
      <c r="X105" s="1" t="n">
        <f aca="false">IF(coding!$O105="",0,IF(ISNUMBER(SEARCH("T2",coding!$O105)),1,0))</f>
        <v>0</v>
      </c>
      <c r="Y105" s="1" t="n">
        <f aca="false">IF(coding!$O105="",0,IF(ISNUMBER(SEARCH("T3",coding!$O105)),1,0))</f>
        <v>0</v>
      </c>
      <c r="Z105" s="1" t="n">
        <f aca="false">IF(coding!$O105="",0,IF(ISNUMBER(SEARCH("T4",coding!$O105)),1,0))</f>
        <v>0</v>
      </c>
      <c r="AA105" s="1" t="n">
        <f aca="false">IF(coding!$O105="",0,IF(ISNUMBER(SEARCH("T5",coding!$O105)),1,0))</f>
        <v>0</v>
      </c>
      <c r="AB105" s="1" t="n">
        <f aca="false">IF(coding!$O105="",0,IF(ISNUMBER(SEARCH("T6",coding!$O105)),1,0))</f>
        <v>0</v>
      </c>
      <c r="AC105" s="1" t="n">
        <f aca="false">IF(coding!$O105="",0,IF(ISNUMBER(SEARCH("T7",coding!$O105)),1,0))</f>
        <v>0</v>
      </c>
      <c r="AD105" s="1" t="n">
        <f aca="false">IF(coding!$O105="",0,IF(ISNUMBER(SEARCH("T8",coding!$O105)),1,0))</f>
        <v>0</v>
      </c>
      <c r="AE105" s="1" t="n">
        <f aca="false">IF(coding!$O105="",0,IF(ISNUMBER(SEARCH("T9",coding!$O105)),1,0))</f>
        <v>0</v>
      </c>
      <c r="AF105" s="1" t="n">
        <f aca="false">SUMPRODUCT($E105:$M105,$N105:$V105)</f>
        <v>0</v>
      </c>
      <c r="AG105" s="1" t="n">
        <f aca="false">SUMPRODUCT(--(($E105:$M105+$N105:$V105)&gt;0))</f>
        <v>0</v>
      </c>
      <c r="AH105" s="1" t="str">
        <f aca="false">IF(AND($B105=1,$C105=1),IF($AG105=0,1,$AF105/$AG105),"")</f>
        <v/>
      </c>
      <c r="AI105" s="1" t="str">
        <f aca="false">IF(AND($B105=1,$C105=1),IF(coding!$I105=coding!$J105,1,0),"")</f>
        <v/>
      </c>
      <c r="AJ105" s="1" t="str">
        <f aca="false">IF($B105=1,IF(SUMPRODUCT(--(($E105:$M105+$W105:$AE105)&gt;0))=0,1,SUMPRODUCT($E105:$M105,$W105:$AE105)/SUMPRODUCT(--(($E105:$M105+$W105:$AE105)&gt;0))),"")</f>
        <v/>
      </c>
      <c r="AK105" s="1" t="str">
        <f aca="false">IF($C105=1,IF(SUMPRODUCT(--(($N105:$V105+$W105:$AE105)&gt;0))=0,1,SUMPRODUCT($N105:$V105,$W105:$AE105)/SUMPRODUCT(--(($N105:$V105+$W105:$AE105)&gt;0))),"")</f>
        <v/>
      </c>
    </row>
    <row r="106" customFormat="false" ht="15" hidden="false" customHeight="true" outlineLevel="0" collapsed="false">
      <c r="A106" s="1" t="str">
        <f aca="false">coding!$A106</f>
        <v>P105</v>
      </c>
      <c r="B106" s="1" t="n">
        <f aca="false">IF(coding!$I106="",0,1)</f>
        <v>0</v>
      </c>
      <c r="C106" s="1" t="n">
        <f aca="false">IF(coding!$J106="",0,1)</f>
        <v>0</v>
      </c>
      <c r="D106" s="1" t="n">
        <f aca="false">IF(coding!$O106="",0,1)</f>
        <v>1</v>
      </c>
      <c r="E106" s="1" t="n">
        <f aca="false">IF(coding!$I106="",0,IF(ISNUMBER(SEARCH("T1",coding!$I106)),1,0))</f>
        <v>0</v>
      </c>
      <c r="F106" s="1" t="n">
        <f aca="false">IF(coding!$I106="",0,IF(ISNUMBER(SEARCH("T2",coding!$I106)),1,0))</f>
        <v>0</v>
      </c>
      <c r="G106" s="1" t="n">
        <f aca="false">IF(coding!$I106="",0,IF(ISNUMBER(SEARCH("T3",coding!$I106)),1,0))</f>
        <v>0</v>
      </c>
      <c r="H106" s="1" t="n">
        <f aca="false">IF(coding!$I106="",0,IF(ISNUMBER(SEARCH("T4",coding!$I106)),1,0))</f>
        <v>0</v>
      </c>
      <c r="I106" s="1" t="n">
        <f aca="false">IF(coding!$I106="",0,IF(ISNUMBER(SEARCH("T5",coding!$I106)),1,0))</f>
        <v>0</v>
      </c>
      <c r="J106" s="1" t="n">
        <f aca="false">IF(coding!$I106="",0,IF(ISNUMBER(SEARCH("T6",coding!$I106)),1,0))</f>
        <v>0</v>
      </c>
      <c r="K106" s="1" t="n">
        <f aca="false">IF(coding!$I106="",0,IF(ISNUMBER(SEARCH("T7",coding!$I106)),1,0))</f>
        <v>0</v>
      </c>
      <c r="L106" s="1" t="n">
        <f aca="false">IF(coding!$I106="",0,IF(ISNUMBER(SEARCH("T8",coding!$I106)),1,0))</f>
        <v>0</v>
      </c>
      <c r="M106" s="1" t="n">
        <f aca="false">IF(coding!$I106="",0,IF(ISNUMBER(SEARCH("T9",coding!$I106)),1,0))</f>
        <v>0</v>
      </c>
      <c r="N106" s="1" t="n">
        <f aca="false">IF(coding!$J106="",0,IF(ISNUMBER(SEARCH("T1",coding!$J106)),1,0))</f>
        <v>0</v>
      </c>
      <c r="O106" s="1" t="n">
        <f aca="false">IF(coding!$J106="",0,IF(ISNUMBER(SEARCH("T2",coding!$J106)),1,0))</f>
        <v>0</v>
      </c>
      <c r="P106" s="1" t="n">
        <f aca="false">IF(coding!$J106="",0,IF(ISNUMBER(SEARCH("T3",coding!$J106)),1,0))</f>
        <v>0</v>
      </c>
      <c r="Q106" s="1" t="n">
        <f aca="false">IF(coding!$J106="",0,IF(ISNUMBER(SEARCH("T4",coding!$J106)),1,0))</f>
        <v>0</v>
      </c>
      <c r="R106" s="1" t="n">
        <f aca="false">IF(coding!$J106="",0,IF(ISNUMBER(SEARCH("T5",coding!$J106)),1,0))</f>
        <v>0</v>
      </c>
      <c r="S106" s="1" t="n">
        <f aca="false">IF(coding!$J106="",0,IF(ISNUMBER(SEARCH("T6",coding!$J106)),1,0))</f>
        <v>0</v>
      </c>
      <c r="T106" s="1" t="n">
        <f aca="false">IF(coding!$J106="",0,IF(ISNUMBER(SEARCH("T7",coding!$J106)),1,0))</f>
        <v>0</v>
      </c>
      <c r="U106" s="1" t="n">
        <f aca="false">IF(coding!$J106="",0,IF(ISNUMBER(SEARCH("T8",coding!$J106)),1,0))</f>
        <v>0</v>
      </c>
      <c r="V106" s="1" t="n">
        <f aca="false">IF(coding!$J106="",0,IF(ISNUMBER(SEARCH("T9",coding!$J106)),1,0))</f>
        <v>0</v>
      </c>
      <c r="W106" s="1" t="n">
        <f aca="false">IF(coding!$O106="",0,IF(ISNUMBER(SEARCH("T1",coding!$O106)),1,0))</f>
        <v>1</v>
      </c>
      <c r="X106" s="1" t="n">
        <f aca="false">IF(coding!$O106="",0,IF(ISNUMBER(SEARCH("T2",coding!$O106)),1,0))</f>
        <v>0</v>
      </c>
      <c r="Y106" s="1" t="n">
        <f aca="false">IF(coding!$O106="",0,IF(ISNUMBER(SEARCH("T3",coding!$O106)),1,0))</f>
        <v>0</v>
      </c>
      <c r="Z106" s="1" t="n">
        <f aca="false">IF(coding!$O106="",0,IF(ISNUMBER(SEARCH("T4",coding!$O106)),1,0))</f>
        <v>0</v>
      </c>
      <c r="AA106" s="1" t="n">
        <f aca="false">IF(coding!$O106="",0,IF(ISNUMBER(SEARCH("T5",coding!$O106)),1,0))</f>
        <v>0</v>
      </c>
      <c r="AB106" s="1" t="n">
        <f aca="false">IF(coding!$O106="",0,IF(ISNUMBER(SEARCH("T6",coding!$O106)),1,0))</f>
        <v>0</v>
      </c>
      <c r="AC106" s="1" t="n">
        <f aca="false">IF(coding!$O106="",0,IF(ISNUMBER(SEARCH("T7",coding!$O106)),1,0))</f>
        <v>0</v>
      </c>
      <c r="AD106" s="1" t="n">
        <f aca="false">IF(coding!$O106="",0,IF(ISNUMBER(SEARCH("T8",coding!$O106)),1,0))</f>
        <v>0</v>
      </c>
      <c r="AE106" s="1" t="n">
        <f aca="false">IF(coding!$O106="",0,IF(ISNUMBER(SEARCH("T9",coding!$O106)),1,0))</f>
        <v>0</v>
      </c>
      <c r="AF106" s="1" t="n">
        <f aca="false">SUMPRODUCT($E106:$M106,$N106:$V106)</f>
        <v>0</v>
      </c>
      <c r="AG106" s="1" t="n">
        <f aca="false">SUMPRODUCT(--(($E106:$M106+$N106:$V106)&gt;0))</f>
        <v>0</v>
      </c>
      <c r="AH106" s="1" t="str">
        <f aca="false">IF(AND($B106=1,$C106=1),IF($AG106=0,1,$AF106/$AG106),"")</f>
        <v/>
      </c>
      <c r="AI106" s="1" t="str">
        <f aca="false">IF(AND($B106=1,$C106=1),IF(coding!$I106=coding!$J106,1,0),"")</f>
        <v/>
      </c>
      <c r="AJ106" s="1" t="str">
        <f aca="false">IF($B106=1,IF(SUMPRODUCT(--(($E106:$M106+$W106:$AE106)&gt;0))=0,1,SUMPRODUCT($E106:$M106,$W106:$AE106)/SUMPRODUCT(--(($E106:$M106+$W106:$AE106)&gt;0))),"")</f>
        <v/>
      </c>
      <c r="AK106" s="1" t="str">
        <f aca="false">IF($C106=1,IF(SUMPRODUCT(--(($N106:$V106+$W106:$AE106)&gt;0))=0,1,SUMPRODUCT($N106:$V106,$W106:$AE106)/SUMPRODUCT(--(($N106:$V106+$W106:$AE106)&gt;0))),"")</f>
        <v/>
      </c>
    </row>
    <row r="107" customFormat="false" ht="15" hidden="false" customHeight="true" outlineLevel="0" collapsed="false">
      <c r="A107" s="1" t="str">
        <f aca="false">coding!$A107</f>
        <v>P106</v>
      </c>
      <c r="B107" s="1" t="n">
        <f aca="false">IF(coding!$I107="",0,1)</f>
        <v>0</v>
      </c>
      <c r="C107" s="1" t="n">
        <f aca="false">IF(coding!$J107="",0,1)</f>
        <v>0</v>
      </c>
      <c r="D107" s="1" t="n">
        <f aca="false">IF(coding!$O107="",0,1)</f>
        <v>1</v>
      </c>
      <c r="E107" s="1" t="n">
        <f aca="false">IF(coding!$I107="",0,IF(ISNUMBER(SEARCH("T1",coding!$I107)),1,0))</f>
        <v>0</v>
      </c>
      <c r="F107" s="1" t="n">
        <f aca="false">IF(coding!$I107="",0,IF(ISNUMBER(SEARCH("T2",coding!$I107)),1,0))</f>
        <v>0</v>
      </c>
      <c r="G107" s="1" t="n">
        <f aca="false">IF(coding!$I107="",0,IF(ISNUMBER(SEARCH("T3",coding!$I107)),1,0))</f>
        <v>0</v>
      </c>
      <c r="H107" s="1" t="n">
        <f aca="false">IF(coding!$I107="",0,IF(ISNUMBER(SEARCH("T4",coding!$I107)),1,0))</f>
        <v>0</v>
      </c>
      <c r="I107" s="1" t="n">
        <f aca="false">IF(coding!$I107="",0,IF(ISNUMBER(SEARCH("T5",coding!$I107)),1,0))</f>
        <v>0</v>
      </c>
      <c r="J107" s="1" t="n">
        <f aca="false">IF(coding!$I107="",0,IF(ISNUMBER(SEARCH("T6",coding!$I107)),1,0))</f>
        <v>0</v>
      </c>
      <c r="K107" s="1" t="n">
        <f aca="false">IF(coding!$I107="",0,IF(ISNUMBER(SEARCH("T7",coding!$I107)),1,0))</f>
        <v>0</v>
      </c>
      <c r="L107" s="1" t="n">
        <f aca="false">IF(coding!$I107="",0,IF(ISNUMBER(SEARCH("T8",coding!$I107)),1,0))</f>
        <v>0</v>
      </c>
      <c r="M107" s="1" t="n">
        <f aca="false">IF(coding!$I107="",0,IF(ISNUMBER(SEARCH("T9",coding!$I107)),1,0))</f>
        <v>0</v>
      </c>
      <c r="N107" s="1" t="n">
        <f aca="false">IF(coding!$J107="",0,IF(ISNUMBER(SEARCH("T1",coding!$J107)),1,0))</f>
        <v>0</v>
      </c>
      <c r="O107" s="1" t="n">
        <f aca="false">IF(coding!$J107="",0,IF(ISNUMBER(SEARCH("T2",coding!$J107)),1,0))</f>
        <v>0</v>
      </c>
      <c r="P107" s="1" t="n">
        <f aca="false">IF(coding!$J107="",0,IF(ISNUMBER(SEARCH("T3",coding!$J107)),1,0))</f>
        <v>0</v>
      </c>
      <c r="Q107" s="1" t="n">
        <f aca="false">IF(coding!$J107="",0,IF(ISNUMBER(SEARCH("T4",coding!$J107)),1,0))</f>
        <v>0</v>
      </c>
      <c r="R107" s="1" t="n">
        <f aca="false">IF(coding!$J107="",0,IF(ISNUMBER(SEARCH("T5",coding!$J107)),1,0))</f>
        <v>0</v>
      </c>
      <c r="S107" s="1" t="n">
        <f aca="false">IF(coding!$J107="",0,IF(ISNUMBER(SEARCH("T6",coding!$J107)),1,0))</f>
        <v>0</v>
      </c>
      <c r="T107" s="1" t="n">
        <f aca="false">IF(coding!$J107="",0,IF(ISNUMBER(SEARCH("T7",coding!$J107)),1,0))</f>
        <v>0</v>
      </c>
      <c r="U107" s="1" t="n">
        <f aca="false">IF(coding!$J107="",0,IF(ISNUMBER(SEARCH("T8",coding!$J107)),1,0))</f>
        <v>0</v>
      </c>
      <c r="V107" s="1" t="n">
        <f aca="false">IF(coding!$J107="",0,IF(ISNUMBER(SEARCH("T9",coding!$J107)),1,0))</f>
        <v>0</v>
      </c>
      <c r="W107" s="1" t="n">
        <f aca="false">IF(coding!$O107="",0,IF(ISNUMBER(SEARCH("T1",coding!$O107)),1,0))</f>
        <v>0</v>
      </c>
      <c r="X107" s="1" t="n">
        <f aca="false">IF(coding!$O107="",0,IF(ISNUMBER(SEARCH("T2",coding!$O107)),1,0))</f>
        <v>0</v>
      </c>
      <c r="Y107" s="1" t="n">
        <f aca="false">IF(coding!$O107="",0,IF(ISNUMBER(SEARCH("T3",coding!$O107)),1,0))</f>
        <v>0</v>
      </c>
      <c r="Z107" s="1" t="n">
        <f aca="false">IF(coding!$O107="",0,IF(ISNUMBER(SEARCH("T4",coding!$O107)),1,0))</f>
        <v>0</v>
      </c>
      <c r="AA107" s="1" t="n">
        <f aca="false">IF(coding!$O107="",0,IF(ISNUMBER(SEARCH("T5",coding!$O107)),1,0))</f>
        <v>0</v>
      </c>
      <c r="AB107" s="1" t="n">
        <f aca="false">IF(coding!$O107="",0,IF(ISNUMBER(SEARCH("T6",coding!$O107)),1,0))</f>
        <v>0</v>
      </c>
      <c r="AC107" s="1" t="n">
        <f aca="false">IF(coding!$O107="",0,IF(ISNUMBER(SEARCH("T7",coding!$O107)),1,0))</f>
        <v>0</v>
      </c>
      <c r="AD107" s="1" t="n">
        <f aca="false">IF(coding!$O107="",0,IF(ISNUMBER(SEARCH("T8",coding!$O107)),1,0))</f>
        <v>0</v>
      </c>
      <c r="AE107" s="1" t="n">
        <f aca="false">IF(coding!$O107="",0,IF(ISNUMBER(SEARCH("T9",coding!$O107)),1,0))</f>
        <v>1</v>
      </c>
      <c r="AF107" s="1" t="n">
        <f aca="false">SUMPRODUCT($E107:$M107,$N107:$V107)</f>
        <v>0</v>
      </c>
      <c r="AG107" s="1" t="n">
        <f aca="false">SUMPRODUCT(--(($E107:$M107+$N107:$V107)&gt;0))</f>
        <v>0</v>
      </c>
      <c r="AH107" s="1" t="str">
        <f aca="false">IF(AND($B107=1,$C107=1),IF($AG107=0,1,$AF107/$AG107),"")</f>
        <v/>
      </c>
      <c r="AI107" s="1" t="str">
        <f aca="false">IF(AND($B107=1,$C107=1),IF(coding!$I107=coding!$J107,1,0),"")</f>
        <v/>
      </c>
      <c r="AJ107" s="1" t="str">
        <f aca="false">IF($B107=1,IF(SUMPRODUCT(--(($E107:$M107+$W107:$AE107)&gt;0))=0,1,SUMPRODUCT($E107:$M107,$W107:$AE107)/SUMPRODUCT(--(($E107:$M107+$W107:$AE107)&gt;0))),"")</f>
        <v/>
      </c>
      <c r="AK107" s="1" t="str">
        <f aca="false">IF($C107=1,IF(SUMPRODUCT(--(($N107:$V107+$W107:$AE107)&gt;0))=0,1,SUMPRODUCT($N107:$V107,$W107:$AE107)/SUMPRODUCT(--(($N107:$V107+$W107:$AE107)&gt;0))),"")</f>
        <v/>
      </c>
    </row>
    <row r="108" customFormat="false" ht="15" hidden="false" customHeight="true" outlineLevel="0" collapsed="false">
      <c r="A108" s="1" t="str">
        <f aca="false">coding!$A108</f>
        <v>P107</v>
      </c>
      <c r="B108" s="1" t="n">
        <f aca="false">IF(coding!$I108="",0,1)</f>
        <v>0</v>
      </c>
      <c r="C108" s="1" t="n">
        <f aca="false">IF(coding!$J108="",0,1)</f>
        <v>0</v>
      </c>
      <c r="D108" s="1" t="n">
        <f aca="false">IF(coding!$O108="",0,1)</f>
        <v>1</v>
      </c>
      <c r="E108" s="1" t="n">
        <f aca="false">IF(coding!$I108="",0,IF(ISNUMBER(SEARCH("T1",coding!$I108)),1,0))</f>
        <v>0</v>
      </c>
      <c r="F108" s="1" t="n">
        <f aca="false">IF(coding!$I108="",0,IF(ISNUMBER(SEARCH("T2",coding!$I108)),1,0))</f>
        <v>0</v>
      </c>
      <c r="G108" s="1" t="n">
        <f aca="false">IF(coding!$I108="",0,IF(ISNUMBER(SEARCH("T3",coding!$I108)),1,0))</f>
        <v>0</v>
      </c>
      <c r="H108" s="1" t="n">
        <f aca="false">IF(coding!$I108="",0,IF(ISNUMBER(SEARCH("T4",coding!$I108)),1,0))</f>
        <v>0</v>
      </c>
      <c r="I108" s="1" t="n">
        <f aca="false">IF(coding!$I108="",0,IF(ISNUMBER(SEARCH("T5",coding!$I108)),1,0))</f>
        <v>0</v>
      </c>
      <c r="J108" s="1" t="n">
        <f aca="false">IF(coding!$I108="",0,IF(ISNUMBER(SEARCH("T6",coding!$I108)),1,0))</f>
        <v>0</v>
      </c>
      <c r="K108" s="1" t="n">
        <f aca="false">IF(coding!$I108="",0,IF(ISNUMBER(SEARCH("T7",coding!$I108)),1,0))</f>
        <v>0</v>
      </c>
      <c r="L108" s="1" t="n">
        <f aca="false">IF(coding!$I108="",0,IF(ISNUMBER(SEARCH("T8",coding!$I108)),1,0))</f>
        <v>0</v>
      </c>
      <c r="M108" s="1" t="n">
        <f aca="false">IF(coding!$I108="",0,IF(ISNUMBER(SEARCH("T9",coding!$I108)),1,0))</f>
        <v>0</v>
      </c>
      <c r="N108" s="1" t="n">
        <f aca="false">IF(coding!$J108="",0,IF(ISNUMBER(SEARCH("T1",coding!$J108)),1,0))</f>
        <v>0</v>
      </c>
      <c r="O108" s="1" t="n">
        <f aca="false">IF(coding!$J108="",0,IF(ISNUMBER(SEARCH("T2",coding!$J108)),1,0))</f>
        <v>0</v>
      </c>
      <c r="P108" s="1" t="n">
        <f aca="false">IF(coding!$J108="",0,IF(ISNUMBER(SEARCH("T3",coding!$J108)),1,0))</f>
        <v>0</v>
      </c>
      <c r="Q108" s="1" t="n">
        <f aca="false">IF(coding!$J108="",0,IF(ISNUMBER(SEARCH("T4",coding!$J108)),1,0))</f>
        <v>0</v>
      </c>
      <c r="R108" s="1" t="n">
        <f aca="false">IF(coding!$J108="",0,IF(ISNUMBER(SEARCH("T5",coding!$J108)),1,0))</f>
        <v>0</v>
      </c>
      <c r="S108" s="1" t="n">
        <f aca="false">IF(coding!$J108="",0,IF(ISNUMBER(SEARCH("T6",coding!$J108)),1,0))</f>
        <v>0</v>
      </c>
      <c r="T108" s="1" t="n">
        <f aca="false">IF(coding!$J108="",0,IF(ISNUMBER(SEARCH("T7",coding!$J108)),1,0))</f>
        <v>0</v>
      </c>
      <c r="U108" s="1" t="n">
        <f aca="false">IF(coding!$J108="",0,IF(ISNUMBER(SEARCH("T8",coding!$J108)),1,0))</f>
        <v>0</v>
      </c>
      <c r="V108" s="1" t="n">
        <f aca="false">IF(coding!$J108="",0,IF(ISNUMBER(SEARCH("T9",coding!$J108)),1,0))</f>
        <v>0</v>
      </c>
      <c r="W108" s="1" t="n">
        <f aca="false">IF(coding!$O108="",0,IF(ISNUMBER(SEARCH("T1",coding!$O108)),1,0))</f>
        <v>1</v>
      </c>
      <c r="X108" s="1" t="n">
        <f aca="false">IF(coding!$O108="",0,IF(ISNUMBER(SEARCH("T2",coding!$O108)),1,0))</f>
        <v>0</v>
      </c>
      <c r="Y108" s="1" t="n">
        <f aca="false">IF(coding!$O108="",0,IF(ISNUMBER(SEARCH("T3",coding!$O108)),1,0))</f>
        <v>0</v>
      </c>
      <c r="Z108" s="1" t="n">
        <f aca="false">IF(coding!$O108="",0,IF(ISNUMBER(SEARCH("T4",coding!$O108)),1,0))</f>
        <v>0</v>
      </c>
      <c r="AA108" s="1" t="n">
        <f aca="false">IF(coding!$O108="",0,IF(ISNUMBER(SEARCH("T5",coding!$O108)),1,0))</f>
        <v>0</v>
      </c>
      <c r="AB108" s="1" t="n">
        <f aca="false">IF(coding!$O108="",0,IF(ISNUMBER(SEARCH("T6",coding!$O108)),1,0))</f>
        <v>0</v>
      </c>
      <c r="AC108" s="1" t="n">
        <f aca="false">IF(coding!$O108="",0,IF(ISNUMBER(SEARCH("T7",coding!$O108)),1,0))</f>
        <v>0</v>
      </c>
      <c r="AD108" s="1" t="n">
        <f aca="false">IF(coding!$O108="",0,IF(ISNUMBER(SEARCH("T8",coding!$O108)),1,0))</f>
        <v>0</v>
      </c>
      <c r="AE108" s="1" t="n">
        <f aca="false">IF(coding!$O108="",0,IF(ISNUMBER(SEARCH("T9",coding!$O108)),1,0))</f>
        <v>0</v>
      </c>
      <c r="AF108" s="1" t="n">
        <f aca="false">SUMPRODUCT($E108:$M108,$N108:$V108)</f>
        <v>0</v>
      </c>
      <c r="AG108" s="1" t="n">
        <f aca="false">SUMPRODUCT(--(($E108:$M108+$N108:$V108)&gt;0))</f>
        <v>0</v>
      </c>
      <c r="AH108" s="1" t="str">
        <f aca="false">IF(AND($B108=1,$C108=1),IF($AG108=0,1,$AF108/$AG108),"")</f>
        <v/>
      </c>
      <c r="AI108" s="1" t="str">
        <f aca="false">IF(AND($B108=1,$C108=1),IF(coding!$I108=coding!$J108,1,0),"")</f>
        <v/>
      </c>
      <c r="AJ108" s="1" t="str">
        <f aca="false">IF($B108=1,IF(SUMPRODUCT(--(($E108:$M108+$W108:$AE108)&gt;0))=0,1,SUMPRODUCT($E108:$M108,$W108:$AE108)/SUMPRODUCT(--(($E108:$M108+$W108:$AE108)&gt;0))),"")</f>
        <v/>
      </c>
      <c r="AK108" s="1" t="str">
        <f aca="false">IF($C108=1,IF(SUMPRODUCT(--(($N108:$V108+$W108:$AE108)&gt;0))=0,1,SUMPRODUCT($N108:$V108,$W108:$AE108)/SUMPRODUCT(--(($N108:$V108+$W108:$AE108)&gt;0))),"")</f>
        <v/>
      </c>
    </row>
    <row r="109" customFormat="false" ht="15" hidden="false" customHeight="true" outlineLevel="0" collapsed="false">
      <c r="A109" s="1" t="str">
        <f aca="false">coding!$A109</f>
        <v>P108</v>
      </c>
      <c r="B109" s="1" t="n">
        <f aca="false">IF(coding!$I109="",0,1)</f>
        <v>0</v>
      </c>
      <c r="C109" s="1" t="n">
        <f aca="false">IF(coding!$J109="",0,1)</f>
        <v>0</v>
      </c>
      <c r="D109" s="1" t="n">
        <f aca="false">IF(coding!$O109="",0,1)</f>
        <v>1</v>
      </c>
      <c r="E109" s="1" t="n">
        <f aca="false">IF(coding!$I109="",0,IF(ISNUMBER(SEARCH("T1",coding!$I109)),1,0))</f>
        <v>0</v>
      </c>
      <c r="F109" s="1" t="n">
        <f aca="false">IF(coding!$I109="",0,IF(ISNUMBER(SEARCH("T2",coding!$I109)),1,0))</f>
        <v>0</v>
      </c>
      <c r="G109" s="1" t="n">
        <f aca="false">IF(coding!$I109="",0,IF(ISNUMBER(SEARCH("T3",coding!$I109)),1,0))</f>
        <v>0</v>
      </c>
      <c r="H109" s="1" t="n">
        <f aca="false">IF(coding!$I109="",0,IF(ISNUMBER(SEARCH("T4",coding!$I109)),1,0))</f>
        <v>0</v>
      </c>
      <c r="I109" s="1" t="n">
        <f aca="false">IF(coding!$I109="",0,IF(ISNUMBER(SEARCH("T5",coding!$I109)),1,0))</f>
        <v>0</v>
      </c>
      <c r="J109" s="1" t="n">
        <f aca="false">IF(coding!$I109="",0,IF(ISNUMBER(SEARCH("T6",coding!$I109)),1,0))</f>
        <v>0</v>
      </c>
      <c r="K109" s="1" t="n">
        <f aca="false">IF(coding!$I109="",0,IF(ISNUMBER(SEARCH("T7",coding!$I109)),1,0))</f>
        <v>0</v>
      </c>
      <c r="L109" s="1" t="n">
        <f aca="false">IF(coding!$I109="",0,IF(ISNUMBER(SEARCH("T8",coding!$I109)),1,0))</f>
        <v>0</v>
      </c>
      <c r="M109" s="1" t="n">
        <f aca="false">IF(coding!$I109="",0,IF(ISNUMBER(SEARCH("T9",coding!$I109)),1,0))</f>
        <v>0</v>
      </c>
      <c r="N109" s="1" t="n">
        <f aca="false">IF(coding!$J109="",0,IF(ISNUMBER(SEARCH("T1",coding!$J109)),1,0))</f>
        <v>0</v>
      </c>
      <c r="O109" s="1" t="n">
        <f aca="false">IF(coding!$J109="",0,IF(ISNUMBER(SEARCH("T2",coding!$J109)),1,0))</f>
        <v>0</v>
      </c>
      <c r="P109" s="1" t="n">
        <f aca="false">IF(coding!$J109="",0,IF(ISNUMBER(SEARCH("T3",coding!$J109)),1,0))</f>
        <v>0</v>
      </c>
      <c r="Q109" s="1" t="n">
        <f aca="false">IF(coding!$J109="",0,IF(ISNUMBER(SEARCH("T4",coding!$J109)),1,0))</f>
        <v>0</v>
      </c>
      <c r="R109" s="1" t="n">
        <f aca="false">IF(coding!$J109="",0,IF(ISNUMBER(SEARCH("T5",coding!$J109)),1,0))</f>
        <v>0</v>
      </c>
      <c r="S109" s="1" t="n">
        <f aca="false">IF(coding!$J109="",0,IF(ISNUMBER(SEARCH("T6",coding!$J109)),1,0))</f>
        <v>0</v>
      </c>
      <c r="T109" s="1" t="n">
        <f aca="false">IF(coding!$J109="",0,IF(ISNUMBER(SEARCH("T7",coding!$J109)),1,0))</f>
        <v>0</v>
      </c>
      <c r="U109" s="1" t="n">
        <f aca="false">IF(coding!$J109="",0,IF(ISNUMBER(SEARCH("T8",coding!$J109)),1,0))</f>
        <v>0</v>
      </c>
      <c r="V109" s="1" t="n">
        <f aca="false">IF(coding!$J109="",0,IF(ISNUMBER(SEARCH("T9",coding!$J109)),1,0))</f>
        <v>0</v>
      </c>
      <c r="W109" s="1" t="n">
        <f aca="false">IF(coding!$O109="",0,IF(ISNUMBER(SEARCH("T1",coding!$O109)),1,0))</f>
        <v>1</v>
      </c>
      <c r="X109" s="1" t="n">
        <f aca="false">IF(coding!$O109="",0,IF(ISNUMBER(SEARCH("T2",coding!$O109)),1,0))</f>
        <v>1</v>
      </c>
      <c r="Y109" s="1" t="n">
        <f aca="false">IF(coding!$O109="",0,IF(ISNUMBER(SEARCH("T3",coding!$O109)),1,0))</f>
        <v>1</v>
      </c>
      <c r="Z109" s="1" t="n">
        <f aca="false">IF(coding!$O109="",0,IF(ISNUMBER(SEARCH("T4",coding!$O109)),1,0))</f>
        <v>1</v>
      </c>
      <c r="AA109" s="1" t="n">
        <f aca="false">IF(coding!$O109="",0,IF(ISNUMBER(SEARCH("T5",coding!$O109)),1,0))</f>
        <v>0</v>
      </c>
      <c r="AB109" s="1" t="n">
        <f aca="false">IF(coding!$O109="",0,IF(ISNUMBER(SEARCH("T6",coding!$O109)),1,0))</f>
        <v>0</v>
      </c>
      <c r="AC109" s="1" t="n">
        <f aca="false">IF(coding!$O109="",0,IF(ISNUMBER(SEARCH("T7",coding!$O109)),1,0))</f>
        <v>0</v>
      </c>
      <c r="AD109" s="1" t="n">
        <f aca="false">IF(coding!$O109="",0,IF(ISNUMBER(SEARCH("T8",coding!$O109)),1,0))</f>
        <v>0</v>
      </c>
      <c r="AE109" s="1" t="n">
        <f aca="false">IF(coding!$O109="",0,IF(ISNUMBER(SEARCH("T9",coding!$O109)),1,0))</f>
        <v>0</v>
      </c>
      <c r="AF109" s="1" t="n">
        <f aca="false">SUMPRODUCT($E109:$M109,$N109:$V109)</f>
        <v>0</v>
      </c>
      <c r="AG109" s="1" t="n">
        <f aca="false">SUMPRODUCT(--(($E109:$M109+$N109:$V109)&gt;0))</f>
        <v>0</v>
      </c>
      <c r="AH109" s="1" t="str">
        <f aca="false">IF(AND($B109=1,$C109=1),IF($AG109=0,1,$AF109/$AG109),"")</f>
        <v/>
      </c>
      <c r="AI109" s="1" t="str">
        <f aca="false">IF(AND($B109=1,$C109=1),IF(coding!$I109=coding!$J109,1,0),"")</f>
        <v/>
      </c>
      <c r="AJ109" s="1" t="str">
        <f aca="false">IF($B109=1,IF(SUMPRODUCT(--(($E109:$M109+$W109:$AE109)&gt;0))=0,1,SUMPRODUCT($E109:$M109,$W109:$AE109)/SUMPRODUCT(--(($E109:$M109+$W109:$AE109)&gt;0))),"")</f>
        <v/>
      </c>
      <c r="AK109" s="1" t="str">
        <f aca="false">IF($C109=1,IF(SUMPRODUCT(--(($N109:$V109+$W109:$AE109)&gt;0))=0,1,SUMPRODUCT($N109:$V109,$W109:$AE109)/SUMPRODUCT(--(($N109:$V109+$W109:$AE109)&gt;0))),"")</f>
        <v/>
      </c>
    </row>
    <row r="110" customFormat="false" ht="15" hidden="false" customHeight="true" outlineLevel="0" collapsed="false">
      <c r="A110" s="1" t="str">
        <f aca="false">coding!$A110</f>
        <v>P109</v>
      </c>
      <c r="B110" s="1" t="n">
        <f aca="false">IF(coding!$I110="",0,1)</f>
        <v>0</v>
      </c>
      <c r="C110" s="1" t="n">
        <f aca="false">IF(coding!$J110="",0,1)</f>
        <v>0</v>
      </c>
      <c r="D110" s="1" t="n">
        <f aca="false">IF(coding!$O110="",0,1)</f>
        <v>1</v>
      </c>
      <c r="E110" s="1" t="n">
        <f aca="false">IF(coding!$I110="",0,IF(ISNUMBER(SEARCH("T1",coding!$I110)),1,0))</f>
        <v>0</v>
      </c>
      <c r="F110" s="1" t="n">
        <f aca="false">IF(coding!$I110="",0,IF(ISNUMBER(SEARCH("T2",coding!$I110)),1,0))</f>
        <v>0</v>
      </c>
      <c r="G110" s="1" t="n">
        <f aca="false">IF(coding!$I110="",0,IF(ISNUMBER(SEARCH("T3",coding!$I110)),1,0))</f>
        <v>0</v>
      </c>
      <c r="H110" s="1" t="n">
        <f aca="false">IF(coding!$I110="",0,IF(ISNUMBER(SEARCH("T4",coding!$I110)),1,0))</f>
        <v>0</v>
      </c>
      <c r="I110" s="1" t="n">
        <f aca="false">IF(coding!$I110="",0,IF(ISNUMBER(SEARCH("T5",coding!$I110)),1,0))</f>
        <v>0</v>
      </c>
      <c r="J110" s="1" t="n">
        <f aca="false">IF(coding!$I110="",0,IF(ISNUMBER(SEARCH("T6",coding!$I110)),1,0))</f>
        <v>0</v>
      </c>
      <c r="K110" s="1" t="n">
        <f aca="false">IF(coding!$I110="",0,IF(ISNUMBER(SEARCH("T7",coding!$I110)),1,0))</f>
        <v>0</v>
      </c>
      <c r="L110" s="1" t="n">
        <f aca="false">IF(coding!$I110="",0,IF(ISNUMBER(SEARCH("T8",coding!$I110)),1,0))</f>
        <v>0</v>
      </c>
      <c r="M110" s="1" t="n">
        <f aca="false">IF(coding!$I110="",0,IF(ISNUMBER(SEARCH("T9",coding!$I110)),1,0))</f>
        <v>0</v>
      </c>
      <c r="N110" s="1" t="n">
        <f aca="false">IF(coding!$J110="",0,IF(ISNUMBER(SEARCH("T1",coding!$J110)),1,0))</f>
        <v>0</v>
      </c>
      <c r="O110" s="1" t="n">
        <f aca="false">IF(coding!$J110="",0,IF(ISNUMBER(SEARCH("T2",coding!$J110)),1,0))</f>
        <v>0</v>
      </c>
      <c r="P110" s="1" t="n">
        <f aca="false">IF(coding!$J110="",0,IF(ISNUMBER(SEARCH("T3",coding!$J110)),1,0))</f>
        <v>0</v>
      </c>
      <c r="Q110" s="1" t="n">
        <f aca="false">IF(coding!$J110="",0,IF(ISNUMBER(SEARCH("T4",coding!$J110)),1,0))</f>
        <v>0</v>
      </c>
      <c r="R110" s="1" t="n">
        <f aca="false">IF(coding!$J110="",0,IF(ISNUMBER(SEARCH("T5",coding!$J110)),1,0))</f>
        <v>0</v>
      </c>
      <c r="S110" s="1" t="n">
        <f aca="false">IF(coding!$J110="",0,IF(ISNUMBER(SEARCH("T6",coding!$J110)),1,0))</f>
        <v>0</v>
      </c>
      <c r="T110" s="1" t="n">
        <f aca="false">IF(coding!$J110="",0,IF(ISNUMBER(SEARCH("T7",coding!$J110)),1,0))</f>
        <v>0</v>
      </c>
      <c r="U110" s="1" t="n">
        <f aca="false">IF(coding!$J110="",0,IF(ISNUMBER(SEARCH("T8",coding!$J110)),1,0))</f>
        <v>0</v>
      </c>
      <c r="V110" s="1" t="n">
        <f aca="false">IF(coding!$J110="",0,IF(ISNUMBER(SEARCH("T9",coding!$J110)),1,0))</f>
        <v>0</v>
      </c>
      <c r="W110" s="1" t="n">
        <f aca="false">IF(coding!$O110="",0,IF(ISNUMBER(SEARCH("T1",coding!$O110)),1,0))</f>
        <v>0</v>
      </c>
      <c r="X110" s="1" t="n">
        <f aca="false">IF(coding!$O110="",0,IF(ISNUMBER(SEARCH("T2",coding!$O110)),1,0))</f>
        <v>1</v>
      </c>
      <c r="Y110" s="1" t="n">
        <f aca="false">IF(coding!$O110="",0,IF(ISNUMBER(SEARCH("T3",coding!$O110)),1,0))</f>
        <v>0</v>
      </c>
      <c r="Z110" s="1" t="n">
        <f aca="false">IF(coding!$O110="",0,IF(ISNUMBER(SEARCH("T4",coding!$O110)),1,0))</f>
        <v>1</v>
      </c>
      <c r="AA110" s="1" t="n">
        <f aca="false">IF(coding!$O110="",0,IF(ISNUMBER(SEARCH("T5",coding!$O110)),1,0))</f>
        <v>0</v>
      </c>
      <c r="AB110" s="1" t="n">
        <f aca="false">IF(coding!$O110="",0,IF(ISNUMBER(SEARCH("T6",coding!$O110)),1,0))</f>
        <v>0</v>
      </c>
      <c r="AC110" s="1" t="n">
        <f aca="false">IF(coding!$O110="",0,IF(ISNUMBER(SEARCH("T7",coding!$O110)),1,0))</f>
        <v>0</v>
      </c>
      <c r="AD110" s="1" t="n">
        <f aca="false">IF(coding!$O110="",0,IF(ISNUMBER(SEARCH("T8",coding!$O110)),1,0))</f>
        <v>0</v>
      </c>
      <c r="AE110" s="1" t="n">
        <f aca="false">IF(coding!$O110="",0,IF(ISNUMBER(SEARCH("T9",coding!$O110)),1,0))</f>
        <v>0</v>
      </c>
      <c r="AF110" s="1" t="n">
        <f aca="false">SUMPRODUCT($E110:$M110,$N110:$V110)</f>
        <v>0</v>
      </c>
      <c r="AG110" s="1" t="n">
        <f aca="false">SUMPRODUCT(--(($E110:$M110+$N110:$V110)&gt;0))</f>
        <v>0</v>
      </c>
      <c r="AH110" s="1" t="str">
        <f aca="false">IF(AND($B110=1,$C110=1),IF($AG110=0,1,$AF110/$AG110),"")</f>
        <v/>
      </c>
      <c r="AI110" s="1" t="str">
        <f aca="false">IF(AND($B110=1,$C110=1),IF(coding!$I110=coding!$J110,1,0),"")</f>
        <v/>
      </c>
      <c r="AJ110" s="1" t="str">
        <f aca="false">IF($B110=1,IF(SUMPRODUCT(--(($E110:$M110+$W110:$AE110)&gt;0))=0,1,SUMPRODUCT($E110:$M110,$W110:$AE110)/SUMPRODUCT(--(($E110:$M110+$W110:$AE110)&gt;0))),"")</f>
        <v/>
      </c>
      <c r="AK110" s="1" t="str">
        <f aca="false">IF($C110=1,IF(SUMPRODUCT(--(($N110:$V110+$W110:$AE110)&gt;0))=0,1,SUMPRODUCT($N110:$V110,$W110:$AE110)/SUMPRODUCT(--(($N110:$V110+$W110:$AE110)&gt;0))),"")</f>
        <v/>
      </c>
    </row>
    <row r="111" customFormat="false" ht="15" hidden="false" customHeight="true" outlineLevel="0" collapsed="false">
      <c r="A111" s="1" t="str">
        <f aca="false">coding!$A111</f>
        <v>P110</v>
      </c>
      <c r="B111" s="1" t="n">
        <f aca="false">IF(coding!$I111="",0,1)</f>
        <v>0</v>
      </c>
      <c r="C111" s="1" t="n">
        <f aca="false">IF(coding!$J111="",0,1)</f>
        <v>0</v>
      </c>
      <c r="D111" s="1" t="n">
        <f aca="false">IF(coding!$O111="",0,1)</f>
        <v>1</v>
      </c>
      <c r="E111" s="1" t="n">
        <f aca="false">IF(coding!$I111="",0,IF(ISNUMBER(SEARCH("T1",coding!$I111)),1,0))</f>
        <v>0</v>
      </c>
      <c r="F111" s="1" t="n">
        <f aca="false">IF(coding!$I111="",0,IF(ISNUMBER(SEARCH("T2",coding!$I111)),1,0))</f>
        <v>0</v>
      </c>
      <c r="G111" s="1" t="n">
        <f aca="false">IF(coding!$I111="",0,IF(ISNUMBER(SEARCH("T3",coding!$I111)),1,0))</f>
        <v>0</v>
      </c>
      <c r="H111" s="1" t="n">
        <f aca="false">IF(coding!$I111="",0,IF(ISNUMBER(SEARCH("T4",coding!$I111)),1,0))</f>
        <v>0</v>
      </c>
      <c r="I111" s="1" t="n">
        <f aca="false">IF(coding!$I111="",0,IF(ISNUMBER(SEARCH("T5",coding!$I111)),1,0))</f>
        <v>0</v>
      </c>
      <c r="J111" s="1" t="n">
        <f aca="false">IF(coding!$I111="",0,IF(ISNUMBER(SEARCH("T6",coding!$I111)),1,0))</f>
        <v>0</v>
      </c>
      <c r="K111" s="1" t="n">
        <f aca="false">IF(coding!$I111="",0,IF(ISNUMBER(SEARCH("T7",coding!$I111)),1,0))</f>
        <v>0</v>
      </c>
      <c r="L111" s="1" t="n">
        <f aca="false">IF(coding!$I111="",0,IF(ISNUMBER(SEARCH("T8",coding!$I111)),1,0))</f>
        <v>0</v>
      </c>
      <c r="M111" s="1" t="n">
        <f aca="false">IF(coding!$I111="",0,IF(ISNUMBER(SEARCH("T9",coding!$I111)),1,0))</f>
        <v>0</v>
      </c>
      <c r="N111" s="1" t="n">
        <f aca="false">IF(coding!$J111="",0,IF(ISNUMBER(SEARCH("T1",coding!$J111)),1,0))</f>
        <v>0</v>
      </c>
      <c r="O111" s="1" t="n">
        <f aca="false">IF(coding!$J111="",0,IF(ISNUMBER(SEARCH("T2",coding!$J111)),1,0))</f>
        <v>0</v>
      </c>
      <c r="P111" s="1" t="n">
        <f aca="false">IF(coding!$J111="",0,IF(ISNUMBER(SEARCH("T3",coding!$J111)),1,0))</f>
        <v>0</v>
      </c>
      <c r="Q111" s="1" t="n">
        <f aca="false">IF(coding!$J111="",0,IF(ISNUMBER(SEARCH("T4",coding!$J111)),1,0))</f>
        <v>0</v>
      </c>
      <c r="R111" s="1" t="n">
        <f aca="false">IF(coding!$J111="",0,IF(ISNUMBER(SEARCH("T5",coding!$J111)),1,0))</f>
        <v>0</v>
      </c>
      <c r="S111" s="1" t="n">
        <f aca="false">IF(coding!$J111="",0,IF(ISNUMBER(SEARCH("T6",coding!$J111)),1,0))</f>
        <v>0</v>
      </c>
      <c r="T111" s="1" t="n">
        <f aca="false">IF(coding!$J111="",0,IF(ISNUMBER(SEARCH("T7",coding!$J111)),1,0))</f>
        <v>0</v>
      </c>
      <c r="U111" s="1" t="n">
        <f aca="false">IF(coding!$J111="",0,IF(ISNUMBER(SEARCH("T8",coding!$J111)),1,0))</f>
        <v>0</v>
      </c>
      <c r="V111" s="1" t="n">
        <f aca="false">IF(coding!$J111="",0,IF(ISNUMBER(SEARCH("T9",coding!$J111)),1,0))</f>
        <v>0</v>
      </c>
      <c r="W111" s="1" t="n">
        <f aca="false">IF(coding!$O111="",0,IF(ISNUMBER(SEARCH("T1",coding!$O111)),1,0))</f>
        <v>0</v>
      </c>
      <c r="X111" s="1" t="n">
        <f aca="false">IF(coding!$O111="",0,IF(ISNUMBER(SEARCH("T2",coding!$O111)),1,0))</f>
        <v>0</v>
      </c>
      <c r="Y111" s="1" t="n">
        <f aca="false">IF(coding!$O111="",0,IF(ISNUMBER(SEARCH("T3",coding!$O111)),1,0))</f>
        <v>0</v>
      </c>
      <c r="Z111" s="1" t="n">
        <f aca="false">IF(coding!$O111="",0,IF(ISNUMBER(SEARCH("T4",coding!$O111)),1,0))</f>
        <v>0</v>
      </c>
      <c r="AA111" s="1" t="n">
        <f aca="false">IF(coding!$O111="",0,IF(ISNUMBER(SEARCH("T5",coding!$O111)),1,0))</f>
        <v>0</v>
      </c>
      <c r="AB111" s="1" t="n">
        <f aca="false">IF(coding!$O111="",0,IF(ISNUMBER(SEARCH("T6",coding!$O111)),1,0))</f>
        <v>0</v>
      </c>
      <c r="AC111" s="1" t="n">
        <f aca="false">IF(coding!$O111="",0,IF(ISNUMBER(SEARCH("T7",coding!$O111)),1,0))</f>
        <v>0</v>
      </c>
      <c r="AD111" s="1" t="n">
        <f aca="false">IF(coding!$O111="",0,IF(ISNUMBER(SEARCH("T8",coding!$O111)),1,0))</f>
        <v>0</v>
      </c>
      <c r="AE111" s="1" t="n">
        <f aca="false">IF(coding!$O111="",0,IF(ISNUMBER(SEARCH("T9",coding!$O111)),1,0))</f>
        <v>1</v>
      </c>
      <c r="AF111" s="1" t="n">
        <f aca="false">SUMPRODUCT($E111:$M111,$N111:$V111)</f>
        <v>0</v>
      </c>
      <c r="AG111" s="1" t="n">
        <f aca="false">SUMPRODUCT(--(($E111:$M111+$N111:$V111)&gt;0))</f>
        <v>0</v>
      </c>
      <c r="AH111" s="1" t="str">
        <f aca="false">IF(AND($B111=1,$C111=1),IF($AG111=0,1,$AF111/$AG111),"")</f>
        <v/>
      </c>
      <c r="AI111" s="1" t="str">
        <f aca="false">IF(AND($B111=1,$C111=1),IF(coding!$I111=coding!$J111,1,0),"")</f>
        <v/>
      </c>
      <c r="AJ111" s="1" t="str">
        <f aca="false">IF($B111=1,IF(SUMPRODUCT(--(($E111:$M111+$W111:$AE111)&gt;0))=0,1,SUMPRODUCT($E111:$M111,$W111:$AE111)/SUMPRODUCT(--(($E111:$M111+$W111:$AE111)&gt;0))),"")</f>
        <v/>
      </c>
      <c r="AK111" s="1" t="str">
        <f aca="false">IF($C111=1,IF(SUMPRODUCT(--(($N111:$V111+$W111:$AE111)&gt;0))=0,1,SUMPRODUCT($N111:$V111,$W111:$AE111)/SUMPRODUCT(--(($N111:$V111+$W111:$AE111)&gt;0))),"")</f>
        <v/>
      </c>
    </row>
    <row r="112" customFormat="false" ht="15" hidden="false" customHeight="true" outlineLevel="0" collapsed="false">
      <c r="A112" s="1" t="str">
        <f aca="false">coding!$A112</f>
        <v>P111</v>
      </c>
      <c r="B112" s="1" t="n">
        <f aca="false">IF(coding!$I112="",0,1)</f>
        <v>0</v>
      </c>
      <c r="C112" s="1" t="n">
        <f aca="false">IF(coding!$J112="",0,1)</f>
        <v>0</v>
      </c>
      <c r="D112" s="1" t="n">
        <f aca="false">IF(coding!$O112="",0,1)</f>
        <v>1</v>
      </c>
      <c r="E112" s="1" t="n">
        <f aca="false">IF(coding!$I112="",0,IF(ISNUMBER(SEARCH("T1",coding!$I112)),1,0))</f>
        <v>0</v>
      </c>
      <c r="F112" s="1" t="n">
        <f aca="false">IF(coding!$I112="",0,IF(ISNUMBER(SEARCH("T2",coding!$I112)),1,0))</f>
        <v>0</v>
      </c>
      <c r="G112" s="1" t="n">
        <f aca="false">IF(coding!$I112="",0,IF(ISNUMBER(SEARCH("T3",coding!$I112)),1,0))</f>
        <v>0</v>
      </c>
      <c r="H112" s="1" t="n">
        <f aca="false">IF(coding!$I112="",0,IF(ISNUMBER(SEARCH("T4",coding!$I112)),1,0))</f>
        <v>0</v>
      </c>
      <c r="I112" s="1" t="n">
        <f aca="false">IF(coding!$I112="",0,IF(ISNUMBER(SEARCH("T5",coding!$I112)),1,0))</f>
        <v>0</v>
      </c>
      <c r="J112" s="1" t="n">
        <f aca="false">IF(coding!$I112="",0,IF(ISNUMBER(SEARCH("T6",coding!$I112)),1,0))</f>
        <v>0</v>
      </c>
      <c r="K112" s="1" t="n">
        <f aca="false">IF(coding!$I112="",0,IF(ISNUMBER(SEARCH("T7",coding!$I112)),1,0))</f>
        <v>0</v>
      </c>
      <c r="L112" s="1" t="n">
        <f aca="false">IF(coding!$I112="",0,IF(ISNUMBER(SEARCH("T8",coding!$I112)),1,0))</f>
        <v>0</v>
      </c>
      <c r="M112" s="1" t="n">
        <f aca="false">IF(coding!$I112="",0,IF(ISNUMBER(SEARCH("T9",coding!$I112)),1,0))</f>
        <v>0</v>
      </c>
      <c r="N112" s="1" t="n">
        <f aca="false">IF(coding!$J112="",0,IF(ISNUMBER(SEARCH("T1",coding!$J112)),1,0))</f>
        <v>0</v>
      </c>
      <c r="O112" s="1" t="n">
        <f aca="false">IF(coding!$J112="",0,IF(ISNUMBER(SEARCH("T2",coding!$J112)),1,0))</f>
        <v>0</v>
      </c>
      <c r="P112" s="1" t="n">
        <f aca="false">IF(coding!$J112="",0,IF(ISNUMBER(SEARCH("T3",coding!$J112)),1,0))</f>
        <v>0</v>
      </c>
      <c r="Q112" s="1" t="n">
        <f aca="false">IF(coding!$J112="",0,IF(ISNUMBER(SEARCH("T4",coding!$J112)),1,0))</f>
        <v>0</v>
      </c>
      <c r="R112" s="1" t="n">
        <f aca="false">IF(coding!$J112="",0,IF(ISNUMBER(SEARCH("T5",coding!$J112)),1,0))</f>
        <v>0</v>
      </c>
      <c r="S112" s="1" t="n">
        <f aca="false">IF(coding!$J112="",0,IF(ISNUMBER(SEARCH("T6",coding!$J112)),1,0))</f>
        <v>0</v>
      </c>
      <c r="T112" s="1" t="n">
        <f aca="false">IF(coding!$J112="",0,IF(ISNUMBER(SEARCH("T7",coding!$J112)),1,0))</f>
        <v>0</v>
      </c>
      <c r="U112" s="1" t="n">
        <f aca="false">IF(coding!$J112="",0,IF(ISNUMBER(SEARCH("T8",coding!$J112)),1,0))</f>
        <v>0</v>
      </c>
      <c r="V112" s="1" t="n">
        <f aca="false">IF(coding!$J112="",0,IF(ISNUMBER(SEARCH("T9",coding!$J112)),1,0))</f>
        <v>0</v>
      </c>
      <c r="W112" s="1" t="n">
        <f aca="false">IF(coding!$O112="",0,IF(ISNUMBER(SEARCH("T1",coding!$O112)),1,0))</f>
        <v>1</v>
      </c>
      <c r="X112" s="1" t="n">
        <f aca="false">IF(coding!$O112="",0,IF(ISNUMBER(SEARCH("T2",coding!$O112)),1,0))</f>
        <v>0</v>
      </c>
      <c r="Y112" s="1" t="n">
        <f aca="false">IF(coding!$O112="",0,IF(ISNUMBER(SEARCH("T3",coding!$O112)),1,0))</f>
        <v>0</v>
      </c>
      <c r="Z112" s="1" t="n">
        <f aca="false">IF(coding!$O112="",0,IF(ISNUMBER(SEARCH("T4",coding!$O112)),1,0))</f>
        <v>0</v>
      </c>
      <c r="AA112" s="1" t="n">
        <f aca="false">IF(coding!$O112="",0,IF(ISNUMBER(SEARCH("T5",coding!$O112)),1,0))</f>
        <v>0</v>
      </c>
      <c r="AB112" s="1" t="n">
        <f aca="false">IF(coding!$O112="",0,IF(ISNUMBER(SEARCH("T6",coding!$O112)),1,0))</f>
        <v>0</v>
      </c>
      <c r="AC112" s="1" t="n">
        <f aca="false">IF(coding!$O112="",0,IF(ISNUMBER(SEARCH("T7",coding!$O112)),1,0))</f>
        <v>0</v>
      </c>
      <c r="AD112" s="1" t="n">
        <f aca="false">IF(coding!$O112="",0,IF(ISNUMBER(SEARCH("T8",coding!$O112)),1,0))</f>
        <v>0</v>
      </c>
      <c r="AE112" s="1" t="n">
        <f aca="false">IF(coding!$O112="",0,IF(ISNUMBER(SEARCH("T9",coding!$O112)),1,0))</f>
        <v>0</v>
      </c>
      <c r="AF112" s="1" t="n">
        <f aca="false">SUMPRODUCT($E112:$M112,$N112:$V112)</f>
        <v>0</v>
      </c>
      <c r="AG112" s="1" t="n">
        <f aca="false">SUMPRODUCT(--(($E112:$M112+$N112:$V112)&gt;0))</f>
        <v>0</v>
      </c>
      <c r="AH112" s="1" t="str">
        <f aca="false">IF(AND($B112=1,$C112=1),IF($AG112=0,1,$AF112/$AG112),"")</f>
        <v/>
      </c>
      <c r="AI112" s="1" t="str">
        <f aca="false">IF(AND($B112=1,$C112=1),IF(coding!$I112=coding!$J112,1,0),"")</f>
        <v/>
      </c>
      <c r="AJ112" s="1" t="str">
        <f aca="false">IF($B112=1,IF(SUMPRODUCT(--(($E112:$M112+$W112:$AE112)&gt;0))=0,1,SUMPRODUCT($E112:$M112,$W112:$AE112)/SUMPRODUCT(--(($E112:$M112+$W112:$AE112)&gt;0))),"")</f>
        <v/>
      </c>
      <c r="AK112" s="1" t="str">
        <f aca="false">IF($C112=1,IF(SUMPRODUCT(--(($N112:$V112+$W112:$AE112)&gt;0))=0,1,SUMPRODUCT($N112:$V112,$W112:$AE112)/SUMPRODUCT(--(($N112:$V112+$W112:$AE112)&gt;0))),"")</f>
        <v/>
      </c>
    </row>
    <row r="113" customFormat="false" ht="15" hidden="false" customHeight="true" outlineLevel="0" collapsed="false">
      <c r="A113" s="1" t="str">
        <f aca="false">coding!$A113</f>
        <v>P112</v>
      </c>
      <c r="B113" s="1" t="n">
        <f aca="false">IF(coding!$I113="",0,1)</f>
        <v>0</v>
      </c>
      <c r="C113" s="1" t="n">
        <f aca="false">IF(coding!$J113="",0,1)</f>
        <v>0</v>
      </c>
      <c r="D113" s="1" t="n">
        <f aca="false">IF(coding!$O113="",0,1)</f>
        <v>1</v>
      </c>
      <c r="E113" s="1" t="n">
        <f aca="false">IF(coding!$I113="",0,IF(ISNUMBER(SEARCH("T1",coding!$I113)),1,0))</f>
        <v>0</v>
      </c>
      <c r="F113" s="1" t="n">
        <f aca="false">IF(coding!$I113="",0,IF(ISNUMBER(SEARCH("T2",coding!$I113)),1,0))</f>
        <v>0</v>
      </c>
      <c r="G113" s="1" t="n">
        <f aca="false">IF(coding!$I113="",0,IF(ISNUMBER(SEARCH("T3",coding!$I113)),1,0))</f>
        <v>0</v>
      </c>
      <c r="H113" s="1" t="n">
        <f aca="false">IF(coding!$I113="",0,IF(ISNUMBER(SEARCH("T4",coding!$I113)),1,0))</f>
        <v>0</v>
      </c>
      <c r="I113" s="1" t="n">
        <f aca="false">IF(coding!$I113="",0,IF(ISNUMBER(SEARCH("T5",coding!$I113)),1,0))</f>
        <v>0</v>
      </c>
      <c r="J113" s="1" t="n">
        <f aca="false">IF(coding!$I113="",0,IF(ISNUMBER(SEARCH("T6",coding!$I113)),1,0))</f>
        <v>0</v>
      </c>
      <c r="K113" s="1" t="n">
        <f aca="false">IF(coding!$I113="",0,IF(ISNUMBER(SEARCH("T7",coding!$I113)),1,0))</f>
        <v>0</v>
      </c>
      <c r="L113" s="1" t="n">
        <f aca="false">IF(coding!$I113="",0,IF(ISNUMBER(SEARCH("T8",coding!$I113)),1,0))</f>
        <v>0</v>
      </c>
      <c r="M113" s="1" t="n">
        <f aca="false">IF(coding!$I113="",0,IF(ISNUMBER(SEARCH("T9",coding!$I113)),1,0))</f>
        <v>0</v>
      </c>
      <c r="N113" s="1" t="n">
        <f aca="false">IF(coding!$J113="",0,IF(ISNUMBER(SEARCH("T1",coding!$J113)),1,0))</f>
        <v>0</v>
      </c>
      <c r="O113" s="1" t="n">
        <f aca="false">IF(coding!$J113="",0,IF(ISNUMBER(SEARCH("T2",coding!$J113)),1,0))</f>
        <v>0</v>
      </c>
      <c r="P113" s="1" t="n">
        <f aca="false">IF(coding!$J113="",0,IF(ISNUMBER(SEARCH("T3",coding!$J113)),1,0))</f>
        <v>0</v>
      </c>
      <c r="Q113" s="1" t="n">
        <f aca="false">IF(coding!$J113="",0,IF(ISNUMBER(SEARCH("T4",coding!$J113)),1,0))</f>
        <v>0</v>
      </c>
      <c r="R113" s="1" t="n">
        <f aca="false">IF(coding!$J113="",0,IF(ISNUMBER(SEARCH("T5",coding!$J113)),1,0))</f>
        <v>0</v>
      </c>
      <c r="S113" s="1" t="n">
        <f aca="false">IF(coding!$J113="",0,IF(ISNUMBER(SEARCH("T6",coding!$J113)),1,0))</f>
        <v>0</v>
      </c>
      <c r="T113" s="1" t="n">
        <f aca="false">IF(coding!$J113="",0,IF(ISNUMBER(SEARCH("T7",coding!$J113)),1,0))</f>
        <v>0</v>
      </c>
      <c r="U113" s="1" t="n">
        <f aca="false">IF(coding!$J113="",0,IF(ISNUMBER(SEARCH("T8",coding!$J113)),1,0))</f>
        <v>0</v>
      </c>
      <c r="V113" s="1" t="n">
        <f aca="false">IF(coding!$J113="",0,IF(ISNUMBER(SEARCH("T9",coding!$J113)),1,0))</f>
        <v>0</v>
      </c>
      <c r="W113" s="1" t="n">
        <f aca="false">IF(coding!$O113="",0,IF(ISNUMBER(SEARCH("T1",coding!$O113)),1,0))</f>
        <v>0</v>
      </c>
      <c r="X113" s="1" t="n">
        <f aca="false">IF(coding!$O113="",0,IF(ISNUMBER(SEARCH("T2",coding!$O113)),1,0))</f>
        <v>0</v>
      </c>
      <c r="Y113" s="1" t="n">
        <f aca="false">IF(coding!$O113="",0,IF(ISNUMBER(SEARCH("T3",coding!$O113)),1,0))</f>
        <v>0</v>
      </c>
      <c r="Z113" s="1" t="n">
        <f aca="false">IF(coding!$O113="",0,IF(ISNUMBER(SEARCH("T4",coding!$O113)),1,0))</f>
        <v>0</v>
      </c>
      <c r="AA113" s="1" t="n">
        <f aca="false">IF(coding!$O113="",0,IF(ISNUMBER(SEARCH("T5",coding!$O113)),1,0))</f>
        <v>0</v>
      </c>
      <c r="AB113" s="1" t="n">
        <f aca="false">IF(coding!$O113="",0,IF(ISNUMBER(SEARCH("T6",coding!$O113)),1,0))</f>
        <v>0</v>
      </c>
      <c r="AC113" s="1" t="n">
        <f aca="false">IF(coding!$O113="",0,IF(ISNUMBER(SEARCH("T7",coding!$O113)),1,0))</f>
        <v>0</v>
      </c>
      <c r="AD113" s="1" t="n">
        <f aca="false">IF(coding!$O113="",0,IF(ISNUMBER(SEARCH("T8",coding!$O113)),1,0))</f>
        <v>0</v>
      </c>
      <c r="AE113" s="1" t="n">
        <f aca="false">IF(coding!$O113="",0,IF(ISNUMBER(SEARCH("T9",coding!$O113)),1,0))</f>
        <v>1</v>
      </c>
      <c r="AF113" s="1" t="n">
        <f aca="false">SUMPRODUCT($E113:$M113,$N113:$V113)</f>
        <v>0</v>
      </c>
      <c r="AG113" s="1" t="n">
        <f aca="false">SUMPRODUCT(--(($E113:$M113+$N113:$V113)&gt;0))</f>
        <v>0</v>
      </c>
      <c r="AH113" s="1" t="str">
        <f aca="false">IF(AND($B113=1,$C113=1),IF($AG113=0,1,$AF113/$AG113),"")</f>
        <v/>
      </c>
      <c r="AI113" s="1" t="str">
        <f aca="false">IF(AND($B113=1,$C113=1),IF(coding!$I113=coding!$J113,1,0),"")</f>
        <v/>
      </c>
      <c r="AJ113" s="1" t="str">
        <f aca="false">IF($B113=1,IF(SUMPRODUCT(--(($E113:$M113+$W113:$AE113)&gt;0))=0,1,SUMPRODUCT($E113:$M113,$W113:$AE113)/SUMPRODUCT(--(($E113:$M113+$W113:$AE113)&gt;0))),"")</f>
        <v/>
      </c>
      <c r="AK113" s="1" t="str">
        <f aca="false">IF($C113=1,IF(SUMPRODUCT(--(($N113:$V113+$W113:$AE113)&gt;0))=0,1,SUMPRODUCT($N113:$V113,$W113:$AE113)/SUMPRODUCT(--(($N113:$V113+$W113:$AE113)&gt;0))),"")</f>
        <v/>
      </c>
    </row>
    <row r="114" customFormat="false" ht="15" hidden="false" customHeight="true" outlineLevel="0" collapsed="false">
      <c r="A114" s="1" t="str">
        <f aca="false">coding!$A114</f>
        <v>P113</v>
      </c>
      <c r="B114" s="1" t="n">
        <f aca="false">IF(coding!$I114="",0,1)</f>
        <v>0</v>
      </c>
      <c r="C114" s="1" t="n">
        <f aca="false">IF(coding!$J114="",0,1)</f>
        <v>0</v>
      </c>
      <c r="D114" s="1" t="n">
        <f aca="false">IF(coding!$O114="",0,1)</f>
        <v>1</v>
      </c>
      <c r="E114" s="1" t="n">
        <f aca="false">IF(coding!$I114="",0,IF(ISNUMBER(SEARCH("T1",coding!$I114)),1,0))</f>
        <v>0</v>
      </c>
      <c r="F114" s="1" t="n">
        <f aca="false">IF(coding!$I114="",0,IF(ISNUMBER(SEARCH("T2",coding!$I114)),1,0))</f>
        <v>0</v>
      </c>
      <c r="G114" s="1" t="n">
        <f aca="false">IF(coding!$I114="",0,IF(ISNUMBER(SEARCH("T3",coding!$I114)),1,0))</f>
        <v>0</v>
      </c>
      <c r="H114" s="1" t="n">
        <f aca="false">IF(coding!$I114="",0,IF(ISNUMBER(SEARCH("T4",coding!$I114)),1,0))</f>
        <v>0</v>
      </c>
      <c r="I114" s="1" t="n">
        <f aca="false">IF(coding!$I114="",0,IF(ISNUMBER(SEARCH("T5",coding!$I114)),1,0))</f>
        <v>0</v>
      </c>
      <c r="J114" s="1" t="n">
        <f aca="false">IF(coding!$I114="",0,IF(ISNUMBER(SEARCH("T6",coding!$I114)),1,0))</f>
        <v>0</v>
      </c>
      <c r="K114" s="1" t="n">
        <f aca="false">IF(coding!$I114="",0,IF(ISNUMBER(SEARCH("T7",coding!$I114)),1,0))</f>
        <v>0</v>
      </c>
      <c r="L114" s="1" t="n">
        <f aca="false">IF(coding!$I114="",0,IF(ISNUMBER(SEARCH("T8",coding!$I114)),1,0))</f>
        <v>0</v>
      </c>
      <c r="M114" s="1" t="n">
        <f aca="false">IF(coding!$I114="",0,IF(ISNUMBER(SEARCH("T9",coding!$I114)),1,0))</f>
        <v>0</v>
      </c>
      <c r="N114" s="1" t="n">
        <f aca="false">IF(coding!$J114="",0,IF(ISNUMBER(SEARCH("T1",coding!$J114)),1,0))</f>
        <v>0</v>
      </c>
      <c r="O114" s="1" t="n">
        <f aca="false">IF(coding!$J114="",0,IF(ISNUMBER(SEARCH("T2",coding!$J114)),1,0))</f>
        <v>0</v>
      </c>
      <c r="P114" s="1" t="n">
        <f aca="false">IF(coding!$J114="",0,IF(ISNUMBER(SEARCH("T3",coding!$J114)),1,0))</f>
        <v>0</v>
      </c>
      <c r="Q114" s="1" t="n">
        <f aca="false">IF(coding!$J114="",0,IF(ISNUMBER(SEARCH("T4",coding!$J114)),1,0))</f>
        <v>0</v>
      </c>
      <c r="R114" s="1" t="n">
        <f aca="false">IF(coding!$J114="",0,IF(ISNUMBER(SEARCH("T5",coding!$J114)),1,0))</f>
        <v>0</v>
      </c>
      <c r="S114" s="1" t="n">
        <f aca="false">IF(coding!$J114="",0,IF(ISNUMBER(SEARCH("T6",coding!$J114)),1,0))</f>
        <v>0</v>
      </c>
      <c r="T114" s="1" t="n">
        <f aca="false">IF(coding!$J114="",0,IF(ISNUMBER(SEARCH("T7",coding!$J114)),1,0))</f>
        <v>0</v>
      </c>
      <c r="U114" s="1" t="n">
        <f aca="false">IF(coding!$J114="",0,IF(ISNUMBER(SEARCH("T8",coding!$J114)),1,0))</f>
        <v>0</v>
      </c>
      <c r="V114" s="1" t="n">
        <f aca="false">IF(coding!$J114="",0,IF(ISNUMBER(SEARCH("T9",coding!$J114)),1,0))</f>
        <v>0</v>
      </c>
      <c r="W114" s="1" t="n">
        <f aca="false">IF(coding!$O114="",0,IF(ISNUMBER(SEARCH("T1",coding!$O114)),1,0))</f>
        <v>1</v>
      </c>
      <c r="X114" s="1" t="n">
        <f aca="false">IF(coding!$O114="",0,IF(ISNUMBER(SEARCH("T2",coding!$O114)),1,0))</f>
        <v>0</v>
      </c>
      <c r="Y114" s="1" t="n">
        <f aca="false">IF(coding!$O114="",0,IF(ISNUMBER(SEARCH("T3",coding!$O114)),1,0))</f>
        <v>0</v>
      </c>
      <c r="Z114" s="1" t="n">
        <f aca="false">IF(coding!$O114="",0,IF(ISNUMBER(SEARCH("T4",coding!$O114)),1,0))</f>
        <v>0</v>
      </c>
      <c r="AA114" s="1" t="n">
        <f aca="false">IF(coding!$O114="",0,IF(ISNUMBER(SEARCH("T5",coding!$O114)),1,0))</f>
        <v>0</v>
      </c>
      <c r="AB114" s="1" t="n">
        <f aca="false">IF(coding!$O114="",0,IF(ISNUMBER(SEARCH("T6",coding!$O114)),1,0))</f>
        <v>0</v>
      </c>
      <c r="AC114" s="1" t="n">
        <f aca="false">IF(coding!$O114="",0,IF(ISNUMBER(SEARCH("T7",coding!$O114)),1,0))</f>
        <v>0</v>
      </c>
      <c r="AD114" s="1" t="n">
        <f aca="false">IF(coding!$O114="",0,IF(ISNUMBER(SEARCH("T8",coding!$O114)),1,0))</f>
        <v>0</v>
      </c>
      <c r="AE114" s="1" t="n">
        <f aca="false">IF(coding!$O114="",0,IF(ISNUMBER(SEARCH("T9",coding!$O114)),1,0))</f>
        <v>0</v>
      </c>
      <c r="AF114" s="1" t="n">
        <f aca="false">SUMPRODUCT($E114:$M114,$N114:$V114)</f>
        <v>0</v>
      </c>
      <c r="AG114" s="1" t="n">
        <f aca="false">SUMPRODUCT(--(($E114:$M114+$N114:$V114)&gt;0))</f>
        <v>0</v>
      </c>
      <c r="AH114" s="1" t="str">
        <f aca="false">IF(AND($B114=1,$C114=1),IF($AG114=0,1,$AF114/$AG114),"")</f>
        <v/>
      </c>
      <c r="AI114" s="1" t="str">
        <f aca="false">IF(AND($B114=1,$C114=1),IF(coding!$I114=coding!$J114,1,0),"")</f>
        <v/>
      </c>
      <c r="AJ114" s="1" t="str">
        <f aca="false">IF($B114=1,IF(SUMPRODUCT(--(($E114:$M114+$W114:$AE114)&gt;0))=0,1,SUMPRODUCT($E114:$M114,$W114:$AE114)/SUMPRODUCT(--(($E114:$M114+$W114:$AE114)&gt;0))),"")</f>
        <v/>
      </c>
      <c r="AK114" s="1" t="str">
        <f aca="false">IF($C114=1,IF(SUMPRODUCT(--(($N114:$V114+$W114:$AE114)&gt;0))=0,1,SUMPRODUCT($N114:$V114,$W114:$AE114)/SUMPRODUCT(--(($N114:$V114+$W114:$AE114)&gt;0))),"")</f>
        <v/>
      </c>
    </row>
    <row r="115" customFormat="false" ht="15" hidden="false" customHeight="true" outlineLevel="0" collapsed="false">
      <c r="A115" s="1" t="str">
        <f aca="false">coding!$A115</f>
        <v>P114</v>
      </c>
      <c r="B115" s="1" t="n">
        <f aca="false">IF(coding!$I115="",0,1)</f>
        <v>0</v>
      </c>
      <c r="C115" s="1" t="n">
        <f aca="false">IF(coding!$J115="",0,1)</f>
        <v>0</v>
      </c>
      <c r="D115" s="1" t="n">
        <f aca="false">IF(coding!$O115="",0,1)</f>
        <v>1</v>
      </c>
      <c r="E115" s="1" t="n">
        <f aca="false">IF(coding!$I115="",0,IF(ISNUMBER(SEARCH("T1",coding!$I115)),1,0))</f>
        <v>0</v>
      </c>
      <c r="F115" s="1" t="n">
        <f aca="false">IF(coding!$I115="",0,IF(ISNUMBER(SEARCH("T2",coding!$I115)),1,0))</f>
        <v>0</v>
      </c>
      <c r="G115" s="1" t="n">
        <f aca="false">IF(coding!$I115="",0,IF(ISNUMBER(SEARCH("T3",coding!$I115)),1,0))</f>
        <v>0</v>
      </c>
      <c r="H115" s="1" t="n">
        <f aca="false">IF(coding!$I115="",0,IF(ISNUMBER(SEARCH("T4",coding!$I115)),1,0))</f>
        <v>0</v>
      </c>
      <c r="I115" s="1" t="n">
        <f aca="false">IF(coding!$I115="",0,IF(ISNUMBER(SEARCH("T5",coding!$I115)),1,0))</f>
        <v>0</v>
      </c>
      <c r="J115" s="1" t="n">
        <f aca="false">IF(coding!$I115="",0,IF(ISNUMBER(SEARCH("T6",coding!$I115)),1,0))</f>
        <v>0</v>
      </c>
      <c r="K115" s="1" t="n">
        <f aca="false">IF(coding!$I115="",0,IF(ISNUMBER(SEARCH("T7",coding!$I115)),1,0))</f>
        <v>0</v>
      </c>
      <c r="L115" s="1" t="n">
        <f aca="false">IF(coding!$I115="",0,IF(ISNUMBER(SEARCH("T8",coding!$I115)),1,0))</f>
        <v>0</v>
      </c>
      <c r="M115" s="1" t="n">
        <f aca="false">IF(coding!$I115="",0,IF(ISNUMBER(SEARCH("T9",coding!$I115)),1,0))</f>
        <v>0</v>
      </c>
      <c r="N115" s="1" t="n">
        <f aca="false">IF(coding!$J115="",0,IF(ISNUMBER(SEARCH("T1",coding!$J115)),1,0))</f>
        <v>0</v>
      </c>
      <c r="O115" s="1" t="n">
        <f aca="false">IF(coding!$J115="",0,IF(ISNUMBER(SEARCH("T2",coding!$J115)),1,0))</f>
        <v>0</v>
      </c>
      <c r="P115" s="1" t="n">
        <f aca="false">IF(coding!$J115="",0,IF(ISNUMBER(SEARCH("T3",coding!$J115)),1,0))</f>
        <v>0</v>
      </c>
      <c r="Q115" s="1" t="n">
        <f aca="false">IF(coding!$J115="",0,IF(ISNUMBER(SEARCH("T4",coding!$J115)),1,0))</f>
        <v>0</v>
      </c>
      <c r="R115" s="1" t="n">
        <f aca="false">IF(coding!$J115="",0,IF(ISNUMBER(SEARCH("T5",coding!$J115)),1,0))</f>
        <v>0</v>
      </c>
      <c r="S115" s="1" t="n">
        <f aca="false">IF(coding!$J115="",0,IF(ISNUMBER(SEARCH("T6",coding!$J115)),1,0))</f>
        <v>0</v>
      </c>
      <c r="T115" s="1" t="n">
        <f aca="false">IF(coding!$J115="",0,IF(ISNUMBER(SEARCH("T7",coding!$J115)),1,0))</f>
        <v>0</v>
      </c>
      <c r="U115" s="1" t="n">
        <f aca="false">IF(coding!$J115="",0,IF(ISNUMBER(SEARCH("T8",coding!$J115)),1,0))</f>
        <v>0</v>
      </c>
      <c r="V115" s="1" t="n">
        <f aca="false">IF(coding!$J115="",0,IF(ISNUMBER(SEARCH("T9",coding!$J115)),1,0))</f>
        <v>0</v>
      </c>
      <c r="W115" s="1" t="n">
        <f aca="false">IF(coding!$O115="",0,IF(ISNUMBER(SEARCH("T1",coding!$O115)),1,0))</f>
        <v>0</v>
      </c>
      <c r="X115" s="1" t="n">
        <f aca="false">IF(coding!$O115="",0,IF(ISNUMBER(SEARCH("T2",coding!$O115)),1,0))</f>
        <v>0</v>
      </c>
      <c r="Y115" s="1" t="n">
        <f aca="false">IF(coding!$O115="",0,IF(ISNUMBER(SEARCH("T3",coding!$O115)),1,0))</f>
        <v>0</v>
      </c>
      <c r="Z115" s="1" t="n">
        <f aca="false">IF(coding!$O115="",0,IF(ISNUMBER(SEARCH("T4",coding!$O115)),1,0))</f>
        <v>0</v>
      </c>
      <c r="AA115" s="1" t="n">
        <f aca="false">IF(coding!$O115="",0,IF(ISNUMBER(SEARCH("T5",coding!$O115)),1,0))</f>
        <v>0</v>
      </c>
      <c r="AB115" s="1" t="n">
        <f aca="false">IF(coding!$O115="",0,IF(ISNUMBER(SEARCH("T6",coding!$O115)),1,0))</f>
        <v>0</v>
      </c>
      <c r="AC115" s="1" t="n">
        <f aca="false">IF(coding!$O115="",0,IF(ISNUMBER(SEARCH("T7",coding!$O115)),1,0))</f>
        <v>0</v>
      </c>
      <c r="AD115" s="1" t="n">
        <f aca="false">IF(coding!$O115="",0,IF(ISNUMBER(SEARCH("T8",coding!$O115)),1,0))</f>
        <v>0</v>
      </c>
      <c r="AE115" s="1" t="n">
        <f aca="false">IF(coding!$O115="",0,IF(ISNUMBER(SEARCH("T9",coding!$O115)),1,0))</f>
        <v>1</v>
      </c>
      <c r="AF115" s="1" t="n">
        <f aca="false">SUMPRODUCT($E115:$M115,$N115:$V115)</f>
        <v>0</v>
      </c>
      <c r="AG115" s="1" t="n">
        <f aca="false">SUMPRODUCT(--(($E115:$M115+$N115:$V115)&gt;0))</f>
        <v>0</v>
      </c>
      <c r="AH115" s="1" t="str">
        <f aca="false">IF(AND($B115=1,$C115=1),IF($AG115=0,1,$AF115/$AG115),"")</f>
        <v/>
      </c>
      <c r="AI115" s="1" t="str">
        <f aca="false">IF(AND($B115=1,$C115=1),IF(coding!$I115=coding!$J115,1,0),"")</f>
        <v/>
      </c>
      <c r="AJ115" s="1" t="str">
        <f aca="false">IF($B115=1,IF(SUMPRODUCT(--(($E115:$M115+$W115:$AE115)&gt;0))=0,1,SUMPRODUCT($E115:$M115,$W115:$AE115)/SUMPRODUCT(--(($E115:$M115+$W115:$AE115)&gt;0))),"")</f>
        <v/>
      </c>
      <c r="AK115" s="1" t="str">
        <f aca="false">IF($C115=1,IF(SUMPRODUCT(--(($N115:$V115+$W115:$AE115)&gt;0))=0,1,SUMPRODUCT($N115:$V115,$W115:$AE115)/SUMPRODUCT(--(($N115:$V115+$W115:$AE115)&gt;0))),"")</f>
        <v/>
      </c>
    </row>
    <row r="116" customFormat="false" ht="15" hidden="false" customHeight="true" outlineLevel="0" collapsed="false">
      <c r="A116" s="1" t="str">
        <f aca="false">coding!$A116</f>
        <v>P115</v>
      </c>
      <c r="B116" s="1" t="n">
        <f aca="false">IF(coding!$I116="",0,1)</f>
        <v>0</v>
      </c>
      <c r="C116" s="1" t="n">
        <f aca="false">IF(coding!$J116="",0,1)</f>
        <v>0</v>
      </c>
      <c r="D116" s="1" t="n">
        <f aca="false">IF(coding!$O116="",0,1)</f>
        <v>1</v>
      </c>
      <c r="E116" s="1" t="n">
        <f aca="false">IF(coding!$I116="",0,IF(ISNUMBER(SEARCH("T1",coding!$I116)),1,0))</f>
        <v>0</v>
      </c>
      <c r="F116" s="1" t="n">
        <f aca="false">IF(coding!$I116="",0,IF(ISNUMBER(SEARCH("T2",coding!$I116)),1,0))</f>
        <v>0</v>
      </c>
      <c r="G116" s="1" t="n">
        <f aca="false">IF(coding!$I116="",0,IF(ISNUMBER(SEARCH("T3",coding!$I116)),1,0))</f>
        <v>0</v>
      </c>
      <c r="H116" s="1" t="n">
        <f aca="false">IF(coding!$I116="",0,IF(ISNUMBER(SEARCH("T4",coding!$I116)),1,0))</f>
        <v>0</v>
      </c>
      <c r="I116" s="1" t="n">
        <f aca="false">IF(coding!$I116="",0,IF(ISNUMBER(SEARCH("T5",coding!$I116)),1,0))</f>
        <v>0</v>
      </c>
      <c r="J116" s="1" t="n">
        <f aca="false">IF(coding!$I116="",0,IF(ISNUMBER(SEARCH("T6",coding!$I116)),1,0))</f>
        <v>0</v>
      </c>
      <c r="K116" s="1" t="n">
        <f aca="false">IF(coding!$I116="",0,IF(ISNUMBER(SEARCH("T7",coding!$I116)),1,0))</f>
        <v>0</v>
      </c>
      <c r="L116" s="1" t="n">
        <f aca="false">IF(coding!$I116="",0,IF(ISNUMBER(SEARCH("T8",coding!$I116)),1,0))</f>
        <v>0</v>
      </c>
      <c r="M116" s="1" t="n">
        <f aca="false">IF(coding!$I116="",0,IF(ISNUMBER(SEARCH("T9",coding!$I116)),1,0))</f>
        <v>0</v>
      </c>
      <c r="N116" s="1" t="n">
        <f aca="false">IF(coding!$J116="",0,IF(ISNUMBER(SEARCH("T1",coding!$J116)),1,0))</f>
        <v>0</v>
      </c>
      <c r="O116" s="1" t="n">
        <f aca="false">IF(coding!$J116="",0,IF(ISNUMBER(SEARCH("T2",coding!$J116)),1,0))</f>
        <v>0</v>
      </c>
      <c r="P116" s="1" t="n">
        <f aca="false">IF(coding!$J116="",0,IF(ISNUMBER(SEARCH("T3",coding!$J116)),1,0))</f>
        <v>0</v>
      </c>
      <c r="Q116" s="1" t="n">
        <f aca="false">IF(coding!$J116="",0,IF(ISNUMBER(SEARCH("T4",coding!$J116)),1,0))</f>
        <v>0</v>
      </c>
      <c r="R116" s="1" t="n">
        <f aca="false">IF(coding!$J116="",0,IF(ISNUMBER(SEARCH("T5",coding!$J116)),1,0))</f>
        <v>0</v>
      </c>
      <c r="S116" s="1" t="n">
        <f aca="false">IF(coding!$J116="",0,IF(ISNUMBER(SEARCH("T6",coding!$J116)),1,0))</f>
        <v>0</v>
      </c>
      <c r="T116" s="1" t="n">
        <f aca="false">IF(coding!$J116="",0,IF(ISNUMBER(SEARCH("T7",coding!$J116)),1,0))</f>
        <v>0</v>
      </c>
      <c r="U116" s="1" t="n">
        <f aca="false">IF(coding!$J116="",0,IF(ISNUMBER(SEARCH("T8",coding!$J116)),1,0))</f>
        <v>0</v>
      </c>
      <c r="V116" s="1" t="n">
        <f aca="false">IF(coding!$J116="",0,IF(ISNUMBER(SEARCH("T9",coding!$J116)),1,0))</f>
        <v>0</v>
      </c>
      <c r="W116" s="1" t="n">
        <f aca="false">IF(coding!$O116="",0,IF(ISNUMBER(SEARCH("T1",coding!$O116)),1,0))</f>
        <v>1</v>
      </c>
      <c r="X116" s="1" t="n">
        <f aca="false">IF(coding!$O116="",0,IF(ISNUMBER(SEARCH("T2",coding!$O116)),1,0))</f>
        <v>1</v>
      </c>
      <c r="Y116" s="1" t="n">
        <f aca="false">IF(coding!$O116="",0,IF(ISNUMBER(SEARCH("T3",coding!$O116)),1,0))</f>
        <v>0</v>
      </c>
      <c r="Z116" s="1" t="n">
        <f aca="false">IF(coding!$O116="",0,IF(ISNUMBER(SEARCH("T4",coding!$O116)),1,0))</f>
        <v>0</v>
      </c>
      <c r="AA116" s="1" t="n">
        <f aca="false">IF(coding!$O116="",0,IF(ISNUMBER(SEARCH("T5",coding!$O116)),1,0))</f>
        <v>0</v>
      </c>
      <c r="AB116" s="1" t="n">
        <f aca="false">IF(coding!$O116="",0,IF(ISNUMBER(SEARCH("T6",coding!$O116)),1,0))</f>
        <v>0</v>
      </c>
      <c r="AC116" s="1" t="n">
        <f aca="false">IF(coding!$O116="",0,IF(ISNUMBER(SEARCH("T7",coding!$O116)),1,0))</f>
        <v>0</v>
      </c>
      <c r="AD116" s="1" t="n">
        <f aca="false">IF(coding!$O116="",0,IF(ISNUMBER(SEARCH("T8",coding!$O116)),1,0))</f>
        <v>0</v>
      </c>
      <c r="AE116" s="1" t="n">
        <f aca="false">IF(coding!$O116="",0,IF(ISNUMBER(SEARCH("T9",coding!$O116)),1,0))</f>
        <v>0</v>
      </c>
      <c r="AF116" s="1" t="n">
        <f aca="false">SUMPRODUCT($E116:$M116,$N116:$V116)</f>
        <v>0</v>
      </c>
      <c r="AG116" s="1" t="n">
        <f aca="false">SUMPRODUCT(--(($E116:$M116+$N116:$V116)&gt;0))</f>
        <v>0</v>
      </c>
      <c r="AH116" s="1" t="str">
        <f aca="false">IF(AND($B116=1,$C116=1),IF($AG116=0,1,$AF116/$AG116),"")</f>
        <v/>
      </c>
      <c r="AI116" s="1" t="str">
        <f aca="false">IF(AND($B116=1,$C116=1),IF(coding!$I116=coding!$J116,1,0),"")</f>
        <v/>
      </c>
      <c r="AJ116" s="1" t="str">
        <f aca="false">IF($B116=1,IF(SUMPRODUCT(--(($E116:$M116+$W116:$AE116)&gt;0))=0,1,SUMPRODUCT($E116:$M116,$W116:$AE116)/SUMPRODUCT(--(($E116:$M116+$W116:$AE116)&gt;0))),"")</f>
        <v/>
      </c>
      <c r="AK116" s="1" t="str">
        <f aca="false">IF($C116=1,IF(SUMPRODUCT(--(($N116:$V116+$W116:$AE116)&gt;0))=0,1,SUMPRODUCT($N116:$V116,$W116:$AE116)/SUMPRODUCT(--(($N116:$V116+$W116:$AE116)&gt;0))),"")</f>
        <v/>
      </c>
    </row>
    <row r="117" customFormat="false" ht="15" hidden="false" customHeight="true" outlineLevel="0" collapsed="false">
      <c r="A117" s="1" t="str">
        <f aca="false">coding!$A117</f>
        <v>P116</v>
      </c>
      <c r="B117" s="1" t="n">
        <f aca="false">IF(coding!$I117="",0,1)</f>
        <v>0</v>
      </c>
      <c r="C117" s="1" t="n">
        <f aca="false">IF(coding!$J117="",0,1)</f>
        <v>0</v>
      </c>
      <c r="D117" s="1" t="n">
        <f aca="false">IF(coding!$O117="",0,1)</f>
        <v>1</v>
      </c>
      <c r="E117" s="1" t="n">
        <f aca="false">IF(coding!$I117="",0,IF(ISNUMBER(SEARCH("T1",coding!$I117)),1,0))</f>
        <v>0</v>
      </c>
      <c r="F117" s="1" t="n">
        <f aca="false">IF(coding!$I117="",0,IF(ISNUMBER(SEARCH("T2",coding!$I117)),1,0))</f>
        <v>0</v>
      </c>
      <c r="G117" s="1" t="n">
        <f aca="false">IF(coding!$I117="",0,IF(ISNUMBER(SEARCH("T3",coding!$I117)),1,0))</f>
        <v>0</v>
      </c>
      <c r="H117" s="1" t="n">
        <f aca="false">IF(coding!$I117="",0,IF(ISNUMBER(SEARCH("T4",coding!$I117)),1,0))</f>
        <v>0</v>
      </c>
      <c r="I117" s="1" t="n">
        <f aca="false">IF(coding!$I117="",0,IF(ISNUMBER(SEARCH("T5",coding!$I117)),1,0))</f>
        <v>0</v>
      </c>
      <c r="J117" s="1" t="n">
        <f aca="false">IF(coding!$I117="",0,IF(ISNUMBER(SEARCH("T6",coding!$I117)),1,0))</f>
        <v>0</v>
      </c>
      <c r="K117" s="1" t="n">
        <f aca="false">IF(coding!$I117="",0,IF(ISNUMBER(SEARCH("T7",coding!$I117)),1,0))</f>
        <v>0</v>
      </c>
      <c r="L117" s="1" t="n">
        <f aca="false">IF(coding!$I117="",0,IF(ISNUMBER(SEARCH("T8",coding!$I117)),1,0))</f>
        <v>0</v>
      </c>
      <c r="M117" s="1" t="n">
        <f aca="false">IF(coding!$I117="",0,IF(ISNUMBER(SEARCH("T9",coding!$I117)),1,0))</f>
        <v>0</v>
      </c>
      <c r="N117" s="1" t="n">
        <f aca="false">IF(coding!$J117="",0,IF(ISNUMBER(SEARCH("T1",coding!$J117)),1,0))</f>
        <v>0</v>
      </c>
      <c r="O117" s="1" t="n">
        <f aca="false">IF(coding!$J117="",0,IF(ISNUMBER(SEARCH("T2",coding!$J117)),1,0))</f>
        <v>0</v>
      </c>
      <c r="P117" s="1" t="n">
        <f aca="false">IF(coding!$J117="",0,IF(ISNUMBER(SEARCH("T3",coding!$J117)),1,0))</f>
        <v>0</v>
      </c>
      <c r="Q117" s="1" t="n">
        <f aca="false">IF(coding!$J117="",0,IF(ISNUMBER(SEARCH("T4",coding!$J117)),1,0))</f>
        <v>0</v>
      </c>
      <c r="R117" s="1" t="n">
        <f aca="false">IF(coding!$J117="",0,IF(ISNUMBER(SEARCH("T5",coding!$J117)),1,0))</f>
        <v>0</v>
      </c>
      <c r="S117" s="1" t="n">
        <f aca="false">IF(coding!$J117="",0,IF(ISNUMBER(SEARCH("T6",coding!$J117)),1,0))</f>
        <v>0</v>
      </c>
      <c r="T117" s="1" t="n">
        <f aca="false">IF(coding!$J117="",0,IF(ISNUMBER(SEARCH("T7",coding!$J117)),1,0))</f>
        <v>0</v>
      </c>
      <c r="U117" s="1" t="n">
        <f aca="false">IF(coding!$J117="",0,IF(ISNUMBER(SEARCH("T8",coding!$J117)),1,0))</f>
        <v>0</v>
      </c>
      <c r="V117" s="1" t="n">
        <f aca="false">IF(coding!$J117="",0,IF(ISNUMBER(SEARCH("T9",coding!$J117)),1,0))</f>
        <v>0</v>
      </c>
      <c r="W117" s="1" t="n">
        <f aca="false">IF(coding!$O117="",0,IF(ISNUMBER(SEARCH("T1",coding!$O117)),1,0))</f>
        <v>1</v>
      </c>
      <c r="X117" s="1" t="n">
        <f aca="false">IF(coding!$O117="",0,IF(ISNUMBER(SEARCH("T2",coding!$O117)),1,0))</f>
        <v>0</v>
      </c>
      <c r="Y117" s="1" t="n">
        <f aca="false">IF(coding!$O117="",0,IF(ISNUMBER(SEARCH("T3",coding!$O117)),1,0))</f>
        <v>0</v>
      </c>
      <c r="Z117" s="1" t="n">
        <f aca="false">IF(coding!$O117="",0,IF(ISNUMBER(SEARCH("T4",coding!$O117)),1,0))</f>
        <v>0</v>
      </c>
      <c r="AA117" s="1" t="n">
        <f aca="false">IF(coding!$O117="",0,IF(ISNUMBER(SEARCH("T5",coding!$O117)),1,0))</f>
        <v>0</v>
      </c>
      <c r="AB117" s="1" t="n">
        <f aca="false">IF(coding!$O117="",0,IF(ISNUMBER(SEARCH("T6",coding!$O117)),1,0))</f>
        <v>0</v>
      </c>
      <c r="AC117" s="1" t="n">
        <f aca="false">IF(coding!$O117="",0,IF(ISNUMBER(SEARCH("T7",coding!$O117)),1,0))</f>
        <v>0</v>
      </c>
      <c r="AD117" s="1" t="n">
        <f aca="false">IF(coding!$O117="",0,IF(ISNUMBER(SEARCH("T8",coding!$O117)),1,0))</f>
        <v>0</v>
      </c>
      <c r="AE117" s="1" t="n">
        <f aca="false">IF(coding!$O117="",0,IF(ISNUMBER(SEARCH("T9",coding!$O117)),1,0))</f>
        <v>0</v>
      </c>
      <c r="AF117" s="1" t="n">
        <f aca="false">SUMPRODUCT($E117:$M117,$N117:$V117)</f>
        <v>0</v>
      </c>
      <c r="AG117" s="1" t="n">
        <f aca="false">SUMPRODUCT(--(($E117:$M117+$N117:$V117)&gt;0))</f>
        <v>0</v>
      </c>
      <c r="AH117" s="1" t="str">
        <f aca="false">IF(AND($B117=1,$C117=1),IF($AG117=0,1,$AF117/$AG117),"")</f>
        <v/>
      </c>
      <c r="AI117" s="1" t="str">
        <f aca="false">IF(AND($B117=1,$C117=1),IF(coding!$I117=coding!$J117,1,0),"")</f>
        <v/>
      </c>
      <c r="AJ117" s="1" t="str">
        <f aca="false">IF($B117=1,IF(SUMPRODUCT(--(($E117:$M117+$W117:$AE117)&gt;0))=0,1,SUMPRODUCT($E117:$M117,$W117:$AE117)/SUMPRODUCT(--(($E117:$M117+$W117:$AE117)&gt;0))),"")</f>
        <v/>
      </c>
      <c r="AK117" s="1" t="str">
        <f aca="false">IF($C117=1,IF(SUMPRODUCT(--(($N117:$V117+$W117:$AE117)&gt;0))=0,1,SUMPRODUCT($N117:$V117,$W117:$AE117)/SUMPRODUCT(--(($N117:$V117+$W117:$AE117)&gt;0))),"")</f>
        <v/>
      </c>
    </row>
    <row r="118" customFormat="false" ht="15" hidden="false" customHeight="true" outlineLevel="0" collapsed="false">
      <c r="A118" s="1" t="str">
        <f aca="false">coding!$A118</f>
        <v>P117</v>
      </c>
      <c r="B118" s="1" t="n">
        <f aca="false">IF(coding!$I118="",0,1)</f>
        <v>0</v>
      </c>
      <c r="C118" s="1" t="n">
        <f aca="false">IF(coding!$J118="",0,1)</f>
        <v>0</v>
      </c>
      <c r="D118" s="1" t="n">
        <f aca="false">IF(coding!$O118="",0,1)</f>
        <v>1</v>
      </c>
      <c r="E118" s="1" t="n">
        <f aca="false">IF(coding!$I118="",0,IF(ISNUMBER(SEARCH("T1",coding!$I118)),1,0))</f>
        <v>0</v>
      </c>
      <c r="F118" s="1" t="n">
        <f aca="false">IF(coding!$I118="",0,IF(ISNUMBER(SEARCH("T2",coding!$I118)),1,0))</f>
        <v>0</v>
      </c>
      <c r="G118" s="1" t="n">
        <f aca="false">IF(coding!$I118="",0,IF(ISNUMBER(SEARCH("T3",coding!$I118)),1,0))</f>
        <v>0</v>
      </c>
      <c r="H118" s="1" t="n">
        <f aca="false">IF(coding!$I118="",0,IF(ISNUMBER(SEARCH("T4",coding!$I118)),1,0))</f>
        <v>0</v>
      </c>
      <c r="I118" s="1" t="n">
        <f aca="false">IF(coding!$I118="",0,IF(ISNUMBER(SEARCH("T5",coding!$I118)),1,0))</f>
        <v>0</v>
      </c>
      <c r="J118" s="1" t="n">
        <f aca="false">IF(coding!$I118="",0,IF(ISNUMBER(SEARCH("T6",coding!$I118)),1,0))</f>
        <v>0</v>
      </c>
      <c r="K118" s="1" t="n">
        <f aca="false">IF(coding!$I118="",0,IF(ISNUMBER(SEARCH("T7",coding!$I118)),1,0))</f>
        <v>0</v>
      </c>
      <c r="L118" s="1" t="n">
        <f aca="false">IF(coding!$I118="",0,IF(ISNUMBER(SEARCH("T8",coding!$I118)),1,0))</f>
        <v>0</v>
      </c>
      <c r="M118" s="1" t="n">
        <f aca="false">IF(coding!$I118="",0,IF(ISNUMBER(SEARCH("T9",coding!$I118)),1,0))</f>
        <v>0</v>
      </c>
      <c r="N118" s="1" t="n">
        <f aca="false">IF(coding!$J118="",0,IF(ISNUMBER(SEARCH("T1",coding!$J118)),1,0))</f>
        <v>0</v>
      </c>
      <c r="O118" s="1" t="n">
        <f aca="false">IF(coding!$J118="",0,IF(ISNUMBER(SEARCH("T2",coding!$J118)),1,0))</f>
        <v>0</v>
      </c>
      <c r="P118" s="1" t="n">
        <f aca="false">IF(coding!$J118="",0,IF(ISNUMBER(SEARCH("T3",coding!$J118)),1,0))</f>
        <v>0</v>
      </c>
      <c r="Q118" s="1" t="n">
        <f aca="false">IF(coding!$J118="",0,IF(ISNUMBER(SEARCH("T4",coding!$J118)),1,0))</f>
        <v>0</v>
      </c>
      <c r="R118" s="1" t="n">
        <f aca="false">IF(coding!$J118="",0,IF(ISNUMBER(SEARCH("T5",coding!$J118)),1,0))</f>
        <v>0</v>
      </c>
      <c r="S118" s="1" t="n">
        <f aca="false">IF(coding!$J118="",0,IF(ISNUMBER(SEARCH("T6",coding!$J118)),1,0))</f>
        <v>0</v>
      </c>
      <c r="T118" s="1" t="n">
        <f aca="false">IF(coding!$J118="",0,IF(ISNUMBER(SEARCH("T7",coding!$J118)),1,0))</f>
        <v>0</v>
      </c>
      <c r="U118" s="1" t="n">
        <f aca="false">IF(coding!$J118="",0,IF(ISNUMBER(SEARCH("T8",coding!$J118)),1,0))</f>
        <v>0</v>
      </c>
      <c r="V118" s="1" t="n">
        <f aca="false">IF(coding!$J118="",0,IF(ISNUMBER(SEARCH("T9",coding!$J118)),1,0))</f>
        <v>0</v>
      </c>
      <c r="W118" s="1" t="n">
        <f aca="false">IF(coding!$O118="",0,IF(ISNUMBER(SEARCH("T1",coding!$O118)),1,0))</f>
        <v>1</v>
      </c>
      <c r="X118" s="1" t="n">
        <f aca="false">IF(coding!$O118="",0,IF(ISNUMBER(SEARCH("T2",coding!$O118)),1,0))</f>
        <v>1</v>
      </c>
      <c r="Y118" s="1" t="n">
        <f aca="false">IF(coding!$O118="",0,IF(ISNUMBER(SEARCH("T3",coding!$O118)),1,0))</f>
        <v>0</v>
      </c>
      <c r="Z118" s="1" t="n">
        <f aca="false">IF(coding!$O118="",0,IF(ISNUMBER(SEARCH("T4",coding!$O118)),1,0))</f>
        <v>0</v>
      </c>
      <c r="AA118" s="1" t="n">
        <f aca="false">IF(coding!$O118="",0,IF(ISNUMBER(SEARCH("T5",coding!$O118)),1,0))</f>
        <v>0</v>
      </c>
      <c r="AB118" s="1" t="n">
        <f aca="false">IF(coding!$O118="",0,IF(ISNUMBER(SEARCH("T6",coding!$O118)),1,0))</f>
        <v>0</v>
      </c>
      <c r="AC118" s="1" t="n">
        <f aca="false">IF(coding!$O118="",0,IF(ISNUMBER(SEARCH("T7",coding!$O118)),1,0))</f>
        <v>0</v>
      </c>
      <c r="AD118" s="1" t="n">
        <f aca="false">IF(coding!$O118="",0,IF(ISNUMBER(SEARCH("T8",coding!$O118)),1,0))</f>
        <v>1</v>
      </c>
      <c r="AE118" s="1" t="n">
        <f aca="false">IF(coding!$O118="",0,IF(ISNUMBER(SEARCH("T9",coding!$O118)),1,0))</f>
        <v>0</v>
      </c>
      <c r="AF118" s="1" t="n">
        <f aca="false">SUMPRODUCT($E118:$M118,$N118:$V118)</f>
        <v>0</v>
      </c>
      <c r="AG118" s="1" t="n">
        <f aca="false">SUMPRODUCT(--(($E118:$M118+$N118:$V118)&gt;0))</f>
        <v>0</v>
      </c>
      <c r="AH118" s="1" t="str">
        <f aca="false">IF(AND($B118=1,$C118=1),IF($AG118=0,1,$AF118/$AG118),"")</f>
        <v/>
      </c>
      <c r="AI118" s="1" t="str">
        <f aca="false">IF(AND($B118=1,$C118=1),IF(coding!$I118=coding!$J118,1,0),"")</f>
        <v/>
      </c>
      <c r="AJ118" s="1" t="str">
        <f aca="false">IF($B118=1,IF(SUMPRODUCT(--(($E118:$M118+$W118:$AE118)&gt;0))=0,1,SUMPRODUCT($E118:$M118,$W118:$AE118)/SUMPRODUCT(--(($E118:$M118+$W118:$AE118)&gt;0))),"")</f>
        <v/>
      </c>
      <c r="AK118" s="1" t="str">
        <f aca="false">IF($C118=1,IF(SUMPRODUCT(--(($N118:$V118+$W118:$AE118)&gt;0))=0,1,SUMPRODUCT($N118:$V118,$W118:$AE118)/SUMPRODUCT(--(($N118:$V118+$W118:$AE118)&gt;0))),"")</f>
        <v/>
      </c>
    </row>
    <row r="119" customFormat="false" ht="15" hidden="false" customHeight="true" outlineLevel="0" collapsed="false">
      <c r="A119" s="1" t="str">
        <f aca="false">coding!$A119</f>
        <v>P118</v>
      </c>
      <c r="B119" s="1" t="n">
        <f aca="false">IF(coding!$I119="",0,1)</f>
        <v>0</v>
      </c>
      <c r="C119" s="1" t="n">
        <f aca="false">IF(coding!$J119="",0,1)</f>
        <v>0</v>
      </c>
      <c r="D119" s="1" t="n">
        <f aca="false">IF(coding!$O119="",0,1)</f>
        <v>1</v>
      </c>
      <c r="E119" s="1" t="n">
        <f aca="false">IF(coding!$I119="",0,IF(ISNUMBER(SEARCH("T1",coding!$I119)),1,0))</f>
        <v>0</v>
      </c>
      <c r="F119" s="1" t="n">
        <f aca="false">IF(coding!$I119="",0,IF(ISNUMBER(SEARCH("T2",coding!$I119)),1,0))</f>
        <v>0</v>
      </c>
      <c r="G119" s="1" t="n">
        <f aca="false">IF(coding!$I119="",0,IF(ISNUMBER(SEARCH("T3",coding!$I119)),1,0))</f>
        <v>0</v>
      </c>
      <c r="H119" s="1" t="n">
        <f aca="false">IF(coding!$I119="",0,IF(ISNUMBER(SEARCH("T4",coding!$I119)),1,0))</f>
        <v>0</v>
      </c>
      <c r="I119" s="1" t="n">
        <f aca="false">IF(coding!$I119="",0,IF(ISNUMBER(SEARCH("T5",coding!$I119)),1,0))</f>
        <v>0</v>
      </c>
      <c r="J119" s="1" t="n">
        <f aca="false">IF(coding!$I119="",0,IF(ISNUMBER(SEARCH("T6",coding!$I119)),1,0))</f>
        <v>0</v>
      </c>
      <c r="K119" s="1" t="n">
        <f aca="false">IF(coding!$I119="",0,IF(ISNUMBER(SEARCH("T7",coding!$I119)),1,0))</f>
        <v>0</v>
      </c>
      <c r="L119" s="1" t="n">
        <f aca="false">IF(coding!$I119="",0,IF(ISNUMBER(SEARCH("T8",coding!$I119)),1,0))</f>
        <v>0</v>
      </c>
      <c r="M119" s="1" t="n">
        <f aca="false">IF(coding!$I119="",0,IF(ISNUMBER(SEARCH("T9",coding!$I119)),1,0))</f>
        <v>0</v>
      </c>
      <c r="N119" s="1" t="n">
        <f aca="false">IF(coding!$J119="",0,IF(ISNUMBER(SEARCH("T1",coding!$J119)),1,0))</f>
        <v>0</v>
      </c>
      <c r="O119" s="1" t="n">
        <f aca="false">IF(coding!$J119="",0,IF(ISNUMBER(SEARCH("T2",coding!$J119)),1,0))</f>
        <v>0</v>
      </c>
      <c r="P119" s="1" t="n">
        <f aca="false">IF(coding!$J119="",0,IF(ISNUMBER(SEARCH("T3",coding!$J119)),1,0))</f>
        <v>0</v>
      </c>
      <c r="Q119" s="1" t="n">
        <f aca="false">IF(coding!$J119="",0,IF(ISNUMBER(SEARCH("T4",coding!$J119)),1,0))</f>
        <v>0</v>
      </c>
      <c r="R119" s="1" t="n">
        <f aca="false">IF(coding!$J119="",0,IF(ISNUMBER(SEARCH("T5",coding!$J119)),1,0))</f>
        <v>0</v>
      </c>
      <c r="S119" s="1" t="n">
        <f aca="false">IF(coding!$J119="",0,IF(ISNUMBER(SEARCH("T6",coding!$J119)),1,0))</f>
        <v>0</v>
      </c>
      <c r="T119" s="1" t="n">
        <f aca="false">IF(coding!$J119="",0,IF(ISNUMBER(SEARCH("T7",coding!$J119)),1,0))</f>
        <v>0</v>
      </c>
      <c r="U119" s="1" t="n">
        <f aca="false">IF(coding!$J119="",0,IF(ISNUMBER(SEARCH("T8",coding!$J119)),1,0))</f>
        <v>0</v>
      </c>
      <c r="V119" s="1" t="n">
        <f aca="false">IF(coding!$J119="",0,IF(ISNUMBER(SEARCH("T9",coding!$J119)),1,0))</f>
        <v>0</v>
      </c>
      <c r="W119" s="1" t="n">
        <f aca="false">IF(coding!$O119="",0,IF(ISNUMBER(SEARCH("T1",coding!$O119)),1,0))</f>
        <v>1</v>
      </c>
      <c r="X119" s="1" t="n">
        <f aca="false">IF(coding!$O119="",0,IF(ISNUMBER(SEARCH("T2",coding!$O119)),1,0))</f>
        <v>0</v>
      </c>
      <c r="Y119" s="1" t="n">
        <f aca="false">IF(coding!$O119="",0,IF(ISNUMBER(SEARCH("T3",coding!$O119)),1,0))</f>
        <v>0</v>
      </c>
      <c r="Z119" s="1" t="n">
        <f aca="false">IF(coding!$O119="",0,IF(ISNUMBER(SEARCH("T4",coding!$O119)),1,0))</f>
        <v>0</v>
      </c>
      <c r="AA119" s="1" t="n">
        <f aca="false">IF(coding!$O119="",0,IF(ISNUMBER(SEARCH("T5",coding!$O119)),1,0))</f>
        <v>1</v>
      </c>
      <c r="AB119" s="1" t="n">
        <f aca="false">IF(coding!$O119="",0,IF(ISNUMBER(SEARCH("T6",coding!$O119)),1,0))</f>
        <v>0</v>
      </c>
      <c r="AC119" s="1" t="n">
        <f aca="false">IF(coding!$O119="",0,IF(ISNUMBER(SEARCH("T7",coding!$O119)),1,0))</f>
        <v>0</v>
      </c>
      <c r="AD119" s="1" t="n">
        <f aca="false">IF(coding!$O119="",0,IF(ISNUMBER(SEARCH("T8",coding!$O119)),1,0))</f>
        <v>0</v>
      </c>
      <c r="AE119" s="1" t="n">
        <f aca="false">IF(coding!$O119="",0,IF(ISNUMBER(SEARCH("T9",coding!$O119)),1,0))</f>
        <v>0</v>
      </c>
      <c r="AF119" s="1" t="n">
        <f aca="false">SUMPRODUCT($E119:$M119,$N119:$V119)</f>
        <v>0</v>
      </c>
      <c r="AG119" s="1" t="n">
        <f aca="false">SUMPRODUCT(--(($E119:$M119+$N119:$V119)&gt;0))</f>
        <v>0</v>
      </c>
      <c r="AH119" s="1" t="str">
        <f aca="false">IF(AND($B119=1,$C119=1),IF($AG119=0,1,$AF119/$AG119),"")</f>
        <v/>
      </c>
      <c r="AI119" s="1" t="str">
        <f aca="false">IF(AND($B119=1,$C119=1),IF(coding!$I119=coding!$J119,1,0),"")</f>
        <v/>
      </c>
      <c r="AJ119" s="1" t="str">
        <f aca="false">IF($B119=1,IF(SUMPRODUCT(--(($E119:$M119+$W119:$AE119)&gt;0))=0,1,SUMPRODUCT($E119:$M119,$W119:$AE119)/SUMPRODUCT(--(($E119:$M119+$W119:$AE119)&gt;0))),"")</f>
        <v/>
      </c>
      <c r="AK119" s="1" t="str">
        <f aca="false">IF($C119=1,IF(SUMPRODUCT(--(($N119:$V119+$W119:$AE119)&gt;0))=0,1,SUMPRODUCT($N119:$V119,$W119:$AE119)/SUMPRODUCT(--(($N119:$V119+$W119:$AE119)&gt;0))),"")</f>
        <v/>
      </c>
    </row>
    <row r="120" customFormat="false" ht="15" hidden="false" customHeight="true" outlineLevel="0" collapsed="false">
      <c r="A120" s="1" t="str">
        <f aca="false">coding!$A120</f>
        <v>P119</v>
      </c>
      <c r="B120" s="1" t="n">
        <f aca="false">IF(coding!$I120="",0,1)</f>
        <v>0</v>
      </c>
      <c r="C120" s="1" t="n">
        <f aca="false">IF(coding!$J120="",0,1)</f>
        <v>0</v>
      </c>
      <c r="D120" s="1" t="n">
        <f aca="false">IF(coding!$O120="",0,1)</f>
        <v>1</v>
      </c>
      <c r="E120" s="1" t="n">
        <f aca="false">IF(coding!$I120="",0,IF(ISNUMBER(SEARCH("T1",coding!$I120)),1,0))</f>
        <v>0</v>
      </c>
      <c r="F120" s="1" t="n">
        <f aca="false">IF(coding!$I120="",0,IF(ISNUMBER(SEARCH("T2",coding!$I120)),1,0))</f>
        <v>0</v>
      </c>
      <c r="G120" s="1" t="n">
        <f aca="false">IF(coding!$I120="",0,IF(ISNUMBER(SEARCH("T3",coding!$I120)),1,0))</f>
        <v>0</v>
      </c>
      <c r="H120" s="1" t="n">
        <f aca="false">IF(coding!$I120="",0,IF(ISNUMBER(SEARCH("T4",coding!$I120)),1,0))</f>
        <v>0</v>
      </c>
      <c r="I120" s="1" t="n">
        <f aca="false">IF(coding!$I120="",0,IF(ISNUMBER(SEARCH("T5",coding!$I120)),1,0))</f>
        <v>0</v>
      </c>
      <c r="J120" s="1" t="n">
        <f aca="false">IF(coding!$I120="",0,IF(ISNUMBER(SEARCH("T6",coding!$I120)),1,0))</f>
        <v>0</v>
      </c>
      <c r="K120" s="1" t="n">
        <f aca="false">IF(coding!$I120="",0,IF(ISNUMBER(SEARCH("T7",coding!$I120)),1,0))</f>
        <v>0</v>
      </c>
      <c r="L120" s="1" t="n">
        <f aca="false">IF(coding!$I120="",0,IF(ISNUMBER(SEARCH("T8",coding!$I120)),1,0))</f>
        <v>0</v>
      </c>
      <c r="M120" s="1" t="n">
        <f aca="false">IF(coding!$I120="",0,IF(ISNUMBER(SEARCH("T9",coding!$I120)),1,0))</f>
        <v>0</v>
      </c>
      <c r="N120" s="1" t="n">
        <f aca="false">IF(coding!$J120="",0,IF(ISNUMBER(SEARCH("T1",coding!$J120)),1,0))</f>
        <v>0</v>
      </c>
      <c r="O120" s="1" t="n">
        <f aca="false">IF(coding!$J120="",0,IF(ISNUMBER(SEARCH("T2",coding!$J120)),1,0))</f>
        <v>0</v>
      </c>
      <c r="P120" s="1" t="n">
        <f aca="false">IF(coding!$J120="",0,IF(ISNUMBER(SEARCH("T3",coding!$J120)),1,0))</f>
        <v>0</v>
      </c>
      <c r="Q120" s="1" t="n">
        <f aca="false">IF(coding!$J120="",0,IF(ISNUMBER(SEARCH("T4",coding!$J120)),1,0))</f>
        <v>0</v>
      </c>
      <c r="R120" s="1" t="n">
        <f aca="false">IF(coding!$J120="",0,IF(ISNUMBER(SEARCH("T5",coding!$J120)),1,0))</f>
        <v>0</v>
      </c>
      <c r="S120" s="1" t="n">
        <f aca="false">IF(coding!$J120="",0,IF(ISNUMBER(SEARCH("T6",coding!$J120)),1,0))</f>
        <v>0</v>
      </c>
      <c r="T120" s="1" t="n">
        <f aca="false">IF(coding!$J120="",0,IF(ISNUMBER(SEARCH("T7",coding!$J120)),1,0))</f>
        <v>0</v>
      </c>
      <c r="U120" s="1" t="n">
        <f aca="false">IF(coding!$J120="",0,IF(ISNUMBER(SEARCH("T8",coding!$J120)),1,0))</f>
        <v>0</v>
      </c>
      <c r="V120" s="1" t="n">
        <f aca="false">IF(coding!$J120="",0,IF(ISNUMBER(SEARCH("T9",coding!$J120)),1,0))</f>
        <v>0</v>
      </c>
      <c r="W120" s="1" t="n">
        <f aca="false">IF(coding!$O120="",0,IF(ISNUMBER(SEARCH("T1",coding!$O120)),1,0))</f>
        <v>1</v>
      </c>
      <c r="X120" s="1" t="n">
        <f aca="false">IF(coding!$O120="",0,IF(ISNUMBER(SEARCH("T2",coding!$O120)),1,0))</f>
        <v>0</v>
      </c>
      <c r="Y120" s="1" t="n">
        <f aca="false">IF(coding!$O120="",0,IF(ISNUMBER(SEARCH("T3",coding!$O120)),1,0))</f>
        <v>0</v>
      </c>
      <c r="Z120" s="1" t="n">
        <f aca="false">IF(coding!$O120="",0,IF(ISNUMBER(SEARCH("T4",coding!$O120)),1,0))</f>
        <v>0</v>
      </c>
      <c r="AA120" s="1" t="n">
        <f aca="false">IF(coding!$O120="",0,IF(ISNUMBER(SEARCH("T5",coding!$O120)),1,0))</f>
        <v>0</v>
      </c>
      <c r="AB120" s="1" t="n">
        <f aca="false">IF(coding!$O120="",0,IF(ISNUMBER(SEARCH("T6",coding!$O120)),1,0))</f>
        <v>0</v>
      </c>
      <c r="AC120" s="1" t="n">
        <f aca="false">IF(coding!$O120="",0,IF(ISNUMBER(SEARCH("T7",coding!$O120)),1,0))</f>
        <v>0</v>
      </c>
      <c r="AD120" s="1" t="n">
        <f aca="false">IF(coding!$O120="",0,IF(ISNUMBER(SEARCH("T8",coding!$O120)),1,0))</f>
        <v>0</v>
      </c>
      <c r="AE120" s="1" t="n">
        <f aca="false">IF(coding!$O120="",0,IF(ISNUMBER(SEARCH("T9",coding!$O120)),1,0))</f>
        <v>0</v>
      </c>
      <c r="AF120" s="1" t="n">
        <f aca="false">SUMPRODUCT($E120:$M120,$N120:$V120)</f>
        <v>0</v>
      </c>
      <c r="AG120" s="1" t="n">
        <f aca="false">SUMPRODUCT(--(($E120:$M120+$N120:$V120)&gt;0))</f>
        <v>0</v>
      </c>
      <c r="AH120" s="1" t="str">
        <f aca="false">IF(AND($B120=1,$C120=1),IF($AG120=0,1,$AF120/$AG120),"")</f>
        <v/>
      </c>
      <c r="AI120" s="1" t="str">
        <f aca="false">IF(AND($B120=1,$C120=1),IF(coding!$I120=coding!$J120,1,0),"")</f>
        <v/>
      </c>
      <c r="AJ120" s="1" t="str">
        <f aca="false">IF($B120=1,IF(SUMPRODUCT(--(($E120:$M120+$W120:$AE120)&gt;0))=0,1,SUMPRODUCT($E120:$M120,$W120:$AE120)/SUMPRODUCT(--(($E120:$M120+$W120:$AE120)&gt;0))),"")</f>
        <v/>
      </c>
      <c r="AK120" s="1" t="str">
        <f aca="false">IF($C120=1,IF(SUMPRODUCT(--(($N120:$V120+$W120:$AE120)&gt;0))=0,1,SUMPRODUCT($N120:$V120,$W120:$AE120)/SUMPRODUCT(--(($N120:$V120+$W120:$AE120)&gt;0))),"")</f>
        <v/>
      </c>
    </row>
    <row r="121" customFormat="false" ht="15" hidden="false" customHeight="true" outlineLevel="0" collapsed="false">
      <c r="A121" s="1" t="str">
        <f aca="false">coding!$A121</f>
        <v>P120</v>
      </c>
      <c r="B121" s="1" t="n">
        <f aca="false">IF(coding!$I121="",0,1)</f>
        <v>0</v>
      </c>
      <c r="C121" s="1" t="n">
        <f aca="false">IF(coding!$J121="",0,1)</f>
        <v>0</v>
      </c>
      <c r="D121" s="1" t="n">
        <f aca="false">IF(coding!$O121="",0,1)</f>
        <v>1</v>
      </c>
      <c r="E121" s="1" t="n">
        <f aca="false">IF(coding!$I121="",0,IF(ISNUMBER(SEARCH("T1",coding!$I121)),1,0))</f>
        <v>0</v>
      </c>
      <c r="F121" s="1" t="n">
        <f aca="false">IF(coding!$I121="",0,IF(ISNUMBER(SEARCH("T2",coding!$I121)),1,0))</f>
        <v>0</v>
      </c>
      <c r="G121" s="1" t="n">
        <f aca="false">IF(coding!$I121="",0,IF(ISNUMBER(SEARCH("T3",coding!$I121)),1,0))</f>
        <v>0</v>
      </c>
      <c r="H121" s="1" t="n">
        <f aca="false">IF(coding!$I121="",0,IF(ISNUMBER(SEARCH("T4",coding!$I121)),1,0))</f>
        <v>0</v>
      </c>
      <c r="I121" s="1" t="n">
        <f aca="false">IF(coding!$I121="",0,IF(ISNUMBER(SEARCH("T5",coding!$I121)),1,0))</f>
        <v>0</v>
      </c>
      <c r="J121" s="1" t="n">
        <f aca="false">IF(coding!$I121="",0,IF(ISNUMBER(SEARCH("T6",coding!$I121)),1,0))</f>
        <v>0</v>
      </c>
      <c r="K121" s="1" t="n">
        <f aca="false">IF(coding!$I121="",0,IF(ISNUMBER(SEARCH("T7",coding!$I121)),1,0))</f>
        <v>0</v>
      </c>
      <c r="L121" s="1" t="n">
        <f aca="false">IF(coding!$I121="",0,IF(ISNUMBER(SEARCH("T8",coding!$I121)),1,0))</f>
        <v>0</v>
      </c>
      <c r="M121" s="1" t="n">
        <f aca="false">IF(coding!$I121="",0,IF(ISNUMBER(SEARCH("T9",coding!$I121)),1,0))</f>
        <v>0</v>
      </c>
      <c r="N121" s="1" t="n">
        <f aca="false">IF(coding!$J121="",0,IF(ISNUMBER(SEARCH("T1",coding!$J121)),1,0))</f>
        <v>0</v>
      </c>
      <c r="O121" s="1" t="n">
        <f aca="false">IF(coding!$J121="",0,IF(ISNUMBER(SEARCH("T2",coding!$J121)),1,0))</f>
        <v>0</v>
      </c>
      <c r="P121" s="1" t="n">
        <f aca="false">IF(coding!$J121="",0,IF(ISNUMBER(SEARCH("T3",coding!$J121)),1,0))</f>
        <v>0</v>
      </c>
      <c r="Q121" s="1" t="n">
        <f aca="false">IF(coding!$J121="",0,IF(ISNUMBER(SEARCH("T4",coding!$J121)),1,0))</f>
        <v>0</v>
      </c>
      <c r="R121" s="1" t="n">
        <f aca="false">IF(coding!$J121="",0,IF(ISNUMBER(SEARCH("T5",coding!$J121)),1,0))</f>
        <v>0</v>
      </c>
      <c r="S121" s="1" t="n">
        <f aca="false">IF(coding!$J121="",0,IF(ISNUMBER(SEARCH("T6",coding!$J121)),1,0))</f>
        <v>0</v>
      </c>
      <c r="T121" s="1" t="n">
        <f aca="false">IF(coding!$J121="",0,IF(ISNUMBER(SEARCH("T7",coding!$J121)),1,0))</f>
        <v>0</v>
      </c>
      <c r="U121" s="1" t="n">
        <f aca="false">IF(coding!$J121="",0,IF(ISNUMBER(SEARCH("T8",coding!$J121)),1,0))</f>
        <v>0</v>
      </c>
      <c r="V121" s="1" t="n">
        <f aca="false">IF(coding!$J121="",0,IF(ISNUMBER(SEARCH("T9",coding!$J121)),1,0))</f>
        <v>0</v>
      </c>
      <c r="W121" s="1" t="n">
        <f aca="false">IF(coding!$O121="",0,IF(ISNUMBER(SEARCH("T1",coding!$O121)),1,0))</f>
        <v>0</v>
      </c>
      <c r="X121" s="1" t="n">
        <f aca="false">IF(coding!$O121="",0,IF(ISNUMBER(SEARCH("T2",coding!$O121)),1,0))</f>
        <v>0</v>
      </c>
      <c r="Y121" s="1" t="n">
        <f aca="false">IF(coding!$O121="",0,IF(ISNUMBER(SEARCH("T3",coding!$O121)),1,0))</f>
        <v>0</v>
      </c>
      <c r="Z121" s="1" t="n">
        <f aca="false">IF(coding!$O121="",0,IF(ISNUMBER(SEARCH("T4",coding!$O121)),1,0))</f>
        <v>0</v>
      </c>
      <c r="AA121" s="1" t="n">
        <f aca="false">IF(coding!$O121="",0,IF(ISNUMBER(SEARCH("T5",coding!$O121)),1,0))</f>
        <v>0</v>
      </c>
      <c r="AB121" s="1" t="n">
        <f aca="false">IF(coding!$O121="",0,IF(ISNUMBER(SEARCH("T6",coding!$O121)),1,0))</f>
        <v>1</v>
      </c>
      <c r="AC121" s="1" t="n">
        <f aca="false">IF(coding!$O121="",0,IF(ISNUMBER(SEARCH("T7",coding!$O121)),1,0))</f>
        <v>0</v>
      </c>
      <c r="AD121" s="1" t="n">
        <f aca="false">IF(coding!$O121="",0,IF(ISNUMBER(SEARCH("T8",coding!$O121)),1,0))</f>
        <v>1</v>
      </c>
      <c r="AE121" s="1" t="n">
        <f aca="false">IF(coding!$O121="",0,IF(ISNUMBER(SEARCH("T9",coding!$O121)),1,0))</f>
        <v>0</v>
      </c>
      <c r="AF121" s="1" t="n">
        <f aca="false">SUMPRODUCT($E121:$M121,$N121:$V121)</f>
        <v>0</v>
      </c>
      <c r="AG121" s="1" t="n">
        <f aca="false">SUMPRODUCT(--(($E121:$M121+$N121:$V121)&gt;0))</f>
        <v>0</v>
      </c>
      <c r="AH121" s="1" t="str">
        <f aca="false">IF(AND($B121=1,$C121=1),IF($AG121=0,1,$AF121/$AG121),"")</f>
        <v/>
      </c>
      <c r="AI121" s="1" t="str">
        <f aca="false">IF(AND($B121=1,$C121=1),IF(coding!$I121=coding!$J121,1,0),"")</f>
        <v/>
      </c>
      <c r="AJ121" s="1" t="str">
        <f aca="false">IF($B121=1,IF(SUMPRODUCT(--(($E121:$M121+$W121:$AE121)&gt;0))=0,1,SUMPRODUCT($E121:$M121,$W121:$AE121)/SUMPRODUCT(--(($E121:$M121+$W121:$AE121)&gt;0))),"")</f>
        <v/>
      </c>
      <c r="AK121" s="1" t="str">
        <f aca="false">IF($C121=1,IF(SUMPRODUCT(--(($N121:$V121+$W121:$AE121)&gt;0))=0,1,SUMPRODUCT($N121:$V121,$W121:$AE121)/SUMPRODUCT(--(($N121:$V121+$W121:$AE121)&gt;0))),"")</f>
        <v/>
      </c>
    </row>
    <row r="122" customFormat="false" ht="15" hidden="false" customHeight="true" outlineLevel="0" collapsed="false">
      <c r="A122" s="1" t="str">
        <f aca="false">coding!$A122</f>
        <v>P121</v>
      </c>
      <c r="B122" s="1" t="n">
        <f aca="false">IF(coding!$I122="",0,1)</f>
        <v>0</v>
      </c>
      <c r="C122" s="1" t="n">
        <f aca="false">IF(coding!$J122="",0,1)</f>
        <v>0</v>
      </c>
      <c r="D122" s="1" t="n">
        <f aca="false">IF(coding!$O122="",0,1)</f>
        <v>1</v>
      </c>
      <c r="E122" s="1" t="n">
        <f aca="false">IF(coding!$I122="",0,IF(ISNUMBER(SEARCH("T1",coding!$I122)),1,0))</f>
        <v>0</v>
      </c>
      <c r="F122" s="1" t="n">
        <f aca="false">IF(coding!$I122="",0,IF(ISNUMBER(SEARCH("T2",coding!$I122)),1,0))</f>
        <v>0</v>
      </c>
      <c r="G122" s="1" t="n">
        <f aca="false">IF(coding!$I122="",0,IF(ISNUMBER(SEARCH("T3",coding!$I122)),1,0))</f>
        <v>0</v>
      </c>
      <c r="H122" s="1" t="n">
        <f aca="false">IF(coding!$I122="",0,IF(ISNUMBER(SEARCH("T4",coding!$I122)),1,0))</f>
        <v>0</v>
      </c>
      <c r="I122" s="1" t="n">
        <f aca="false">IF(coding!$I122="",0,IF(ISNUMBER(SEARCH("T5",coding!$I122)),1,0))</f>
        <v>0</v>
      </c>
      <c r="J122" s="1" t="n">
        <f aca="false">IF(coding!$I122="",0,IF(ISNUMBER(SEARCH("T6",coding!$I122)),1,0))</f>
        <v>0</v>
      </c>
      <c r="K122" s="1" t="n">
        <f aca="false">IF(coding!$I122="",0,IF(ISNUMBER(SEARCH("T7",coding!$I122)),1,0))</f>
        <v>0</v>
      </c>
      <c r="L122" s="1" t="n">
        <f aca="false">IF(coding!$I122="",0,IF(ISNUMBER(SEARCH("T8",coding!$I122)),1,0))</f>
        <v>0</v>
      </c>
      <c r="M122" s="1" t="n">
        <f aca="false">IF(coding!$I122="",0,IF(ISNUMBER(SEARCH("T9",coding!$I122)),1,0))</f>
        <v>0</v>
      </c>
      <c r="N122" s="1" t="n">
        <f aca="false">IF(coding!$J122="",0,IF(ISNUMBER(SEARCH("T1",coding!$J122)),1,0))</f>
        <v>0</v>
      </c>
      <c r="O122" s="1" t="n">
        <f aca="false">IF(coding!$J122="",0,IF(ISNUMBER(SEARCH("T2",coding!$J122)),1,0))</f>
        <v>0</v>
      </c>
      <c r="P122" s="1" t="n">
        <f aca="false">IF(coding!$J122="",0,IF(ISNUMBER(SEARCH("T3",coding!$J122)),1,0))</f>
        <v>0</v>
      </c>
      <c r="Q122" s="1" t="n">
        <f aca="false">IF(coding!$J122="",0,IF(ISNUMBER(SEARCH("T4",coding!$J122)),1,0))</f>
        <v>0</v>
      </c>
      <c r="R122" s="1" t="n">
        <f aca="false">IF(coding!$J122="",0,IF(ISNUMBER(SEARCH("T5",coding!$J122)),1,0))</f>
        <v>0</v>
      </c>
      <c r="S122" s="1" t="n">
        <f aca="false">IF(coding!$J122="",0,IF(ISNUMBER(SEARCH("T6",coding!$J122)),1,0))</f>
        <v>0</v>
      </c>
      <c r="T122" s="1" t="n">
        <f aca="false">IF(coding!$J122="",0,IF(ISNUMBER(SEARCH("T7",coding!$J122)),1,0))</f>
        <v>0</v>
      </c>
      <c r="U122" s="1" t="n">
        <f aca="false">IF(coding!$J122="",0,IF(ISNUMBER(SEARCH("T8",coding!$J122)),1,0))</f>
        <v>0</v>
      </c>
      <c r="V122" s="1" t="n">
        <f aca="false">IF(coding!$J122="",0,IF(ISNUMBER(SEARCH("T9",coding!$J122)),1,0))</f>
        <v>0</v>
      </c>
      <c r="W122" s="1" t="n">
        <f aca="false">IF(coding!$O122="",0,IF(ISNUMBER(SEARCH("T1",coding!$O122)),1,0))</f>
        <v>0</v>
      </c>
      <c r="X122" s="1" t="n">
        <f aca="false">IF(coding!$O122="",0,IF(ISNUMBER(SEARCH("T2",coding!$O122)),1,0))</f>
        <v>0</v>
      </c>
      <c r="Y122" s="1" t="n">
        <f aca="false">IF(coding!$O122="",0,IF(ISNUMBER(SEARCH("T3",coding!$O122)),1,0))</f>
        <v>0</v>
      </c>
      <c r="Z122" s="1" t="n">
        <f aca="false">IF(coding!$O122="",0,IF(ISNUMBER(SEARCH("T4",coding!$O122)),1,0))</f>
        <v>0</v>
      </c>
      <c r="AA122" s="1" t="n">
        <f aca="false">IF(coding!$O122="",0,IF(ISNUMBER(SEARCH("T5",coding!$O122)),1,0))</f>
        <v>1</v>
      </c>
      <c r="AB122" s="1" t="n">
        <f aca="false">IF(coding!$O122="",0,IF(ISNUMBER(SEARCH("T6",coding!$O122)),1,0))</f>
        <v>0</v>
      </c>
      <c r="AC122" s="1" t="n">
        <f aca="false">IF(coding!$O122="",0,IF(ISNUMBER(SEARCH("T7",coding!$O122)),1,0))</f>
        <v>0</v>
      </c>
      <c r="AD122" s="1" t="n">
        <f aca="false">IF(coding!$O122="",0,IF(ISNUMBER(SEARCH("T8",coding!$O122)),1,0))</f>
        <v>0</v>
      </c>
      <c r="AE122" s="1" t="n">
        <f aca="false">IF(coding!$O122="",0,IF(ISNUMBER(SEARCH("T9",coding!$O122)),1,0))</f>
        <v>0</v>
      </c>
      <c r="AF122" s="1" t="n">
        <f aca="false">SUMPRODUCT($E122:$M122,$N122:$V122)</f>
        <v>0</v>
      </c>
      <c r="AG122" s="1" t="n">
        <f aca="false">SUMPRODUCT(--(($E122:$M122+$N122:$V122)&gt;0))</f>
        <v>0</v>
      </c>
      <c r="AH122" s="1" t="str">
        <f aca="false">IF(AND($B122=1,$C122=1),IF($AG122=0,1,$AF122/$AG122),"")</f>
        <v/>
      </c>
      <c r="AI122" s="1" t="str">
        <f aca="false">IF(AND($B122=1,$C122=1),IF(coding!$I122=coding!$J122,1,0),"")</f>
        <v/>
      </c>
      <c r="AJ122" s="1" t="str">
        <f aca="false">IF($B122=1,IF(SUMPRODUCT(--(($E122:$M122+$W122:$AE122)&gt;0))=0,1,SUMPRODUCT($E122:$M122,$W122:$AE122)/SUMPRODUCT(--(($E122:$M122+$W122:$AE122)&gt;0))),"")</f>
        <v/>
      </c>
      <c r="AK122" s="1" t="str">
        <f aca="false">IF($C122=1,IF(SUMPRODUCT(--(($N122:$V122+$W122:$AE122)&gt;0))=0,1,SUMPRODUCT($N122:$V122,$W122:$AE122)/SUMPRODUCT(--(($N122:$V122+$W122:$AE122)&gt;0))),"")</f>
        <v/>
      </c>
    </row>
    <row r="123" customFormat="false" ht="15" hidden="false" customHeight="true" outlineLevel="0" collapsed="false">
      <c r="A123" s="1" t="str">
        <f aca="false">coding!$A123</f>
        <v>P122</v>
      </c>
      <c r="B123" s="1" t="n">
        <f aca="false">IF(coding!$I123="",0,1)</f>
        <v>0</v>
      </c>
      <c r="C123" s="1" t="n">
        <f aca="false">IF(coding!$J123="",0,1)</f>
        <v>0</v>
      </c>
      <c r="D123" s="1" t="n">
        <f aca="false">IF(coding!$O123="",0,1)</f>
        <v>1</v>
      </c>
      <c r="E123" s="1" t="n">
        <f aca="false">IF(coding!$I123="",0,IF(ISNUMBER(SEARCH("T1",coding!$I123)),1,0))</f>
        <v>0</v>
      </c>
      <c r="F123" s="1" t="n">
        <f aca="false">IF(coding!$I123="",0,IF(ISNUMBER(SEARCH("T2",coding!$I123)),1,0))</f>
        <v>0</v>
      </c>
      <c r="G123" s="1" t="n">
        <f aca="false">IF(coding!$I123="",0,IF(ISNUMBER(SEARCH("T3",coding!$I123)),1,0))</f>
        <v>0</v>
      </c>
      <c r="H123" s="1" t="n">
        <f aca="false">IF(coding!$I123="",0,IF(ISNUMBER(SEARCH("T4",coding!$I123)),1,0))</f>
        <v>0</v>
      </c>
      <c r="I123" s="1" t="n">
        <f aca="false">IF(coding!$I123="",0,IF(ISNUMBER(SEARCH("T5",coding!$I123)),1,0))</f>
        <v>0</v>
      </c>
      <c r="J123" s="1" t="n">
        <f aca="false">IF(coding!$I123="",0,IF(ISNUMBER(SEARCH("T6",coding!$I123)),1,0))</f>
        <v>0</v>
      </c>
      <c r="K123" s="1" t="n">
        <f aca="false">IF(coding!$I123="",0,IF(ISNUMBER(SEARCH("T7",coding!$I123)),1,0))</f>
        <v>0</v>
      </c>
      <c r="L123" s="1" t="n">
        <f aca="false">IF(coding!$I123="",0,IF(ISNUMBER(SEARCH("T8",coding!$I123)),1,0))</f>
        <v>0</v>
      </c>
      <c r="M123" s="1" t="n">
        <f aca="false">IF(coding!$I123="",0,IF(ISNUMBER(SEARCH("T9",coding!$I123)),1,0))</f>
        <v>0</v>
      </c>
      <c r="N123" s="1" t="n">
        <f aca="false">IF(coding!$J123="",0,IF(ISNUMBER(SEARCH("T1",coding!$J123)),1,0))</f>
        <v>0</v>
      </c>
      <c r="O123" s="1" t="n">
        <f aca="false">IF(coding!$J123="",0,IF(ISNUMBER(SEARCH("T2",coding!$J123)),1,0))</f>
        <v>0</v>
      </c>
      <c r="P123" s="1" t="n">
        <f aca="false">IF(coding!$J123="",0,IF(ISNUMBER(SEARCH("T3",coding!$J123)),1,0))</f>
        <v>0</v>
      </c>
      <c r="Q123" s="1" t="n">
        <f aca="false">IF(coding!$J123="",0,IF(ISNUMBER(SEARCH("T4",coding!$J123)),1,0))</f>
        <v>0</v>
      </c>
      <c r="R123" s="1" t="n">
        <f aca="false">IF(coding!$J123="",0,IF(ISNUMBER(SEARCH("T5",coding!$J123)),1,0))</f>
        <v>0</v>
      </c>
      <c r="S123" s="1" t="n">
        <f aca="false">IF(coding!$J123="",0,IF(ISNUMBER(SEARCH("T6",coding!$J123)),1,0))</f>
        <v>0</v>
      </c>
      <c r="T123" s="1" t="n">
        <f aca="false">IF(coding!$J123="",0,IF(ISNUMBER(SEARCH("T7",coding!$J123)),1,0))</f>
        <v>0</v>
      </c>
      <c r="U123" s="1" t="n">
        <f aca="false">IF(coding!$J123="",0,IF(ISNUMBER(SEARCH("T8",coding!$J123)),1,0))</f>
        <v>0</v>
      </c>
      <c r="V123" s="1" t="n">
        <f aca="false">IF(coding!$J123="",0,IF(ISNUMBER(SEARCH("T9",coding!$J123)),1,0))</f>
        <v>0</v>
      </c>
      <c r="W123" s="1" t="n">
        <f aca="false">IF(coding!$O123="",0,IF(ISNUMBER(SEARCH("T1",coding!$O123)),1,0))</f>
        <v>1</v>
      </c>
      <c r="X123" s="1" t="n">
        <f aca="false">IF(coding!$O123="",0,IF(ISNUMBER(SEARCH("T2",coding!$O123)),1,0))</f>
        <v>1</v>
      </c>
      <c r="Y123" s="1" t="n">
        <f aca="false">IF(coding!$O123="",0,IF(ISNUMBER(SEARCH("T3",coding!$O123)),1,0))</f>
        <v>0</v>
      </c>
      <c r="Z123" s="1" t="n">
        <f aca="false">IF(coding!$O123="",0,IF(ISNUMBER(SEARCH("T4",coding!$O123)),1,0))</f>
        <v>0</v>
      </c>
      <c r="AA123" s="1" t="n">
        <f aca="false">IF(coding!$O123="",0,IF(ISNUMBER(SEARCH("T5",coding!$O123)),1,0))</f>
        <v>0</v>
      </c>
      <c r="AB123" s="1" t="n">
        <f aca="false">IF(coding!$O123="",0,IF(ISNUMBER(SEARCH("T6",coding!$O123)),1,0))</f>
        <v>1</v>
      </c>
      <c r="AC123" s="1" t="n">
        <f aca="false">IF(coding!$O123="",0,IF(ISNUMBER(SEARCH("T7",coding!$O123)),1,0))</f>
        <v>0</v>
      </c>
      <c r="AD123" s="1" t="n">
        <f aca="false">IF(coding!$O123="",0,IF(ISNUMBER(SEARCH("T8",coding!$O123)),1,0))</f>
        <v>0</v>
      </c>
      <c r="AE123" s="1" t="n">
        <f aca="false">IF(coding!$O123="",0,IF(ISNUMBER(SEARCH("T9",coding!$O123)),1,0))</f>
        <v>0</v>
      </c>
      <c r="AF123" s="1" t="n">
        <f aca="false">SUMPRODUCT($E123:$M123,$N123:$V123)</f>
        <v>0</v>
      </c>
      <c r="AG123" s="1" t="n">
        <f aca="false">SUMPRODUCT(--(($E123:$M123+$N123:$V123)&gt;0))</f>
        <v>0</v>
      </c>
      <c r="AH123" s="1" t="str">
        <f aca="false">IF(AND($B123=1,$C123=1),IF($AG123=0,1,$AF123/$AG123),"")</f>
        <v/>
      </c>
      <c r="AI123" s="1" t="str">
        <f aca="false">IF(AND($B123=1,$C123=1),IF(coding!$I123=coding!$J123,1,0),"")</f>
        <v/>
      </c>
      <c r="AJ123" s="1" t="str">
        <f aca="false">IF($B123=1,IF(SUMPRODUCT(--(($E123:$M123+$W123:$AE123)&gt;0))=0,1,SUMPRODUCT($E123:$M123,$W123:$AE123)/SUMPRODUCT(--(($E123:$M123+$W123:$AE123)&gt;0))),"")</f>
        <v/>
      </c>
      <c r="AK123" s="1" t="str">
        <f aca="false">IF($C123=1,IF(SUMPRODUCT(--(($N123:$V123+$W123:$AE123)&gt;0))=0,1,SUMPRODUCT($N123:$V123,$W123:$AE123)/SUMPRODUCT(--(($N123:$V123+$W123:$AE123)&gt;0))),"")</f>
        <v/>
      </c>
    </row>
    <row r="124" customFormat="false" ht="15" hidden="false" customHeight="true" outlineLevel="0" collapsed="false">
      <c r="A124" s="1" t="str">
        <f aca="false">coding!$A124</f>
        <v>P123</v>
      </c>
      <c r="B124" s="1" t="n">
        <f aca="false">IF(coding!$I124="",0,1)</f>
        <v>0</v>
      </c>
      <c r="C124" s="1" t="n">
        <f aca="false">IF(coding!$J124="",0,1)</f>
        <v>0</v>
      </c>
      <c r="D124" s="1" t="n">
        <f aca="false">IF(coding!$O124="",0,1)</f>
        <v>1</v>
      </c>
      <c r="E124" s="1" t="n">
        <f aca="false">IF(coding!$I124="",0,IF(ISNUMBER(SEARCH("T1",coding!$I124)),1,0))</f>
        <v>0</v>
      </c>
      <c r="F124" s="1" t="n">
        <f aca="false">IF(coding!$I124="",0,IF(ISNUMBER(SEARCH("T2",coding!$I124)),1,0))</f>
        <v>0</v>
      </c>
      <c r="G124" s="1" t="n">
        <f aca="false">IF(coding!$I124="",0,IF(ISNUMBER(SEARCH("T3",coding!$I124)),1,0))</f>
        <v>0</v>
      </c>
      <c r="H124" s="1" t="n">
        <f aca="false">IF(coding!$I124="",0,IF(ISNUMBER(SEARCH("T4",coding!$I124)),1,0))</f>
        <v>0</v>
      </c>
      <c r="I124" s="1" t="n">
        <f aca="false">IF(coding!$I124="",0,IF(ISNUMBER(SEARCH("T5",coding!$I124)),1,0))</f>
        <v>0</v>
      </c>
      <c r="J124" s="1" t="n">
        <f aca="false">IF(coding!$I124="",0,IF(ISNUMBER(SEARCH("T6",coding!$I124)),1,0))</f>
        <v>0</v>
      </c>
      <c r="K124" s="1" t="n">
        <f aca="false">IF(coding!$I124="",0,IF(ISNUMBER(SEARCH("T7",coding!$I124)),1,0))</f>
        <v>0</v>
      </c>
      <c r="L124" s="1" t="n">
        <f aca="false">IF(coding!$I124="",0,IF(ISNUMBER(SEARCH("T8",coding!$I124)),1,0))</f>
        <v>0</v>
      </c>
      <c r="M124" s="1" t="n">
        <f aca="false">IF(coding!$I124="",0,IF(ISNUMBER(SEARCH("T9",coding!$I124)),1,0))</f>
        <v>0</v>
      </c>
      <c r="N124" s="1" t="n">
        <f aca="false">IF(coding!$J124="",0,IF(ISNUMBER(SEARCH("T1",coding!$J124)),1,0))</f>
        <v>0</v>
      </c>
      <c r="O124" s="1" t="n">
        <f aca="false">IF(coding!$J124="",0,IF(ISNUMBER(SEARCH("T2",coding!$J124)),1,0))</f>
        <v>0</v>
      </c>
      <c r="P124" s="1" t="n">
        <f aca="false">IF(coding!$J124="",0,IF(ISNUMBER(SEARCH("T3",coding!$J124)),1,0))</f>
        <v>0</v>
      </c>
      <c r="Q124" s="1" t="n">
        <f aca="false">IF(coding!$J124="",0,IF(ISNUMBER(SEARCH("T4",coding!$J124)),1,0))</f>
        <v>0</v>
      </c>
      <c r="R124" s="1" t="n">
        <f aca="false">IF(coding!$J124="",0,IF(ISNUMBER(SEARCH("T5",coding!$J124)),1,0))</f>
        <v>0</v>
      </c>
      <c r="S124" s="1" t="n">
        <f aca="false">IF(coding!$J124="",0,IF(ISNUMBER(SEARCH("T6",coding!$J124)),1,0))</f>
        <v>0</v>
      </c>
      <c r="T124" s="1" t="n">
        <f aca="false">IF(coding!$J124="",0,IF(ISNUMBER(SEARCH("T7",coding!$J124)),1,0))</f>
        <v>0</v>
      </c>
      <c r="U124" s="1" t="n">
        <f aca="false">IF(coding!$J124="",0,IF(ISNUMBER(SEARCH("T8",coding!$J124)),1,0))</f>
        <v>0</v>
      </c>
      <c r="V124" s="1" t="n">
        <f aca="false">IF(coding!$J124="",0,IF(ISNUMBER(SEARCH("T9",coding!$J124)),1,0))</f>
        <v>0</v>
      </c>
      <c r="W124" s="1" t="n">
        <f aca="false">IF(coding!$O124="",0,IF(ISNUMBER(SEARCH("T1",coding!$O124)),1,0))</f>
        <v>1</v>
      </c>
      <c r="X124" s="1" t="n">
        <f aca="false">IF(coding!$O124="",0,IF(ISNUMBER(SEARCH("T2",coding!$O124)),1,0))</f>
        <v>1</v>
      </c>
      <c r="Y124" s="1" t="n">
        <f aca="false">IF(coding!$O124="",0,IF(ISNUMBER(SEARCH("T3",coding!$O124)),1,0))</f>
        <v>0</v>
      </c>
      <c r="Z124" s="1" t="n">
        <f aca="false">IF(coding!$O124="",0,IF(ISNUMBER(SEARCH("T4",coding!$O124)),1,0))</f>
        <v>0</v>
      </c>
      <c r="AA124" s="1" t="n">
        <f aca="false">IF(coding!$O124="",0,IF(ISNUMBER(SEARCH("T5",coding!$O124)),1,0))</f>
        <v>0</v>
      </c>
      <c r="AB124" s="1" t="n">
        <f aca="false">IF(coding!$O124="",0,IF(ISNUMBER(SEARCH("T6",coding!$O124)),1,0))</f>
        <v>0</v>
      </c>
      <c r="AC124" s="1" t="n">
        <f aca="false">IF(coding!$O124="",0,IF(ISNUMBER(SEARCH("T7",coding!$O124)),1,0))</f>
        <v>0</v>
      </c>
      <c r="AD124" s="1" t="n">
        <f aca="false">IF(coding!$O124="",0,IF(ISNUMBER(SEARCH("T8",coding!$O124)),1,0))</f>
        <v>0</v>
      </c>
      <c r="AE124" s="1" t="n">
        <f aca="false">IF(coding!$O124="",0,IF(ISNUMBER(SEARCH("T9",coding!$O124)),1,0))</f>
        <v>0</v>
      </c>
      <c r="AF124" s="1" t="n">
        <f aca="false">SUMPRODUCT($E124:$M124,$N124:$V124)</f>
        <v>0</v>
      </c>
      <c r="AG124" s="1" t="n">
        <f aca="false">SUMPRODUCT(--(($E124:$M124+$N124:$V124)&gt;0))</f>
        <v>0</v>
      </c>
      <c r="AH124" s="1" t="str">
        <f aca="false">IF(AND($B124=1,$C124=1),IF($AG124=0,1,$AF124/$AG124),"")</f>
        <v/>
      </c>
      <c r="AI124" s="1" t="str">
        <f aca="false">IF(AND($B124=1,$C124=1),IF(coding!$I124=coding!$J124,1,0),"")</f>
        <v/>
      </c>
      <c r="AJ124" s="1" t="str">
        <f aca="false">IF($B124=1,IF(SUMPRODUCT(--(($E124:$M124+$W124:$AE124)&gt;0))=0,1,SUMPRODUCT($E124:$M124,$W124:$AE124)/SUMPRODUCT(--(($E124:$M124+$W124:$AE124)&gt;0))),"")</f>
        <v/>
      </c>
      <c r="AK124" s="1" t="str">
        <f aca="false">IF($C124=1,IF(SUMPRODUCT(--(($N124:$V124+$W124:$AE124)&gt;0))=0,1,SUMPRODUCT($N124:$V124,$W124:$AE124)/SUMPRODUCT(--(($N124:$V124+$W124:$AE124)&gt;0))),"")</f>
        <v/>
      </c>
    </row>
    <row r="125" customFormat="false" ht="15" hidden="false" customHeight="true" outlineLevel="0" collapsed="false">
      <c r="A125" s="1" t="str">
        <f aca="false">coding!$A125</f>
        <v>P124</v>
      </c>
      <c r="B125" s="1" t="n">
        <f aca="false">IF(coding!$I125="",0,1)</f>
        <v>0</v>
      </c>
      <c r="C125" s="1" t="n">
        <f aca="false">IF(coding!$J125="",0,1)</f>
        <v>0</v>
      </c>
      <c r="D125" s="1" t="n">
        <f aca="false">IF(coding!$O125="",0,1)</f>
        <v>1</v>
      </c>
      <c r="E125" s="1" t="n">
        <f aca="false">IF(coding!$I125="",0,IF(ISNUMBER(SEARCH("T1",coding!$I125)),1,0))</f>
        <v>0</v>
      </c>
      <c r="F125" s="1" t="n">
        <f aca="false">IF(coding!$I125="",0,IF(ISNUMBER(SEARCH("T2",coding!$I125)),1,0))</f>
        <v>0</v>
      </c>
      <c r="G125" s="1" t="n">
        <f aca="false">IF(coding!$I125="",0,IF(ISNUMBER(SEARCH("T3",coding!$I125)),1,0))</f>
        <v>0</v>
      </c>
      <c r="H125" s="1" t="n">
        <f aca="false">IF(coding!$I125="",0,IF(ISNUMBER(SEARCH("T4",coding!$I125)),1,0))</f>
        <v>0</v>
      </c>
      <c r="I125" s="1" t="n">
        <f aca="false">IF(coding!$I125="",0,IF(ISNUMBER(SEARCH("T5",coding!$I125)),1,0))</f>
        <v>0</v>
      </c>
      <c r="J125" s="1" t="n">
        <f aca="false">IF(coding!$I125="",0,IF(ISNUMBER(SEARCH("T6",coding!$I125)),1,0))</f>
        <v>0</v>
      </c>
      <c r="K125" s="1" t="n">
        <f aca="false">IF(coding!$I125="",0,IF(ISNUMBER(SEARCH("T7",coding!$I125)),1,0))</f>
        <v>0</v>
      </c>
      <c r="L125" s="1" t="n">
        <f aca="false">IF(coding!$I125="",0,IF(ISNUMBER(SEARCH("T8",coding!$I125)),1,0))</f>
        <v>0</v>
      </c>
      <c r="M125" s="1" t="n">
        <f aca="false">IF(coding!$I125="",0,IF(ISNUMBER(SEARCH("T9",coding!$I125)),1,0))</f>
        <v>0</v>
      </c>
      <c r="N125" s="1" t="n">
        <f aca="false">IF(coding!$J125="",0,IF(ISNUMBER(SEARCH("T1",coding!$J125)),1,0))</f>
        <v>0</v>
      </c>
      <c r="O125" s="1" t="n">
        <f aca="false">IF(coding!$J125="",0,IF(ISNUMBER(SEARCH("T2",coding!$J125)),1,0))</f>
        <v>0</v>
      </c>
      <c r="P125" s="1" t="n">
        <f aca="false">IF(coding!$J125="",0,IF(ISNUMBER(SEARCH("T3",coding!$J125)),1,0))</f>
        <v>0</v>
      </c>
      <c r="Q125" s="1" t="n">
        <f aca="false">IF(coding!$J125="",0,IF(ISNUMBER(SEARCH("T4",coding!$J125)),1,0))</f>
        <v>0</v>
      </c>
      <c r="R125" s="1" t="n">
        <f aca="false">IF(coding!$J125="",0,IF(ISNUMBER(SEARCH("T5",coding!$J125)),1,0))</f>
        <v>0</v>
      </c>
      <c r="S125" s="1" t="n">
        <f aca="false">IF(coding!$J125="",0,IF(ISNUMBER(SEARCH("T6",coding!$J125)),1,0))</f>
        <v>0</v>
      </c>
      <c r="T125" s="1" t="n">
        <f aca="false">IF(coding!$J125="",0,IF(ISNUMBER(SEARCH("T7",coding!$J125)),1,0))</f>
        <v>0</v>
      </c>
      <c r="U125" s="1" t="n">
        <f aca="false">IF(coding!$J125="",0,IF(ISNUMBER(SEARCH("T8",coding!$J125)),1,0))</f>
        <v>0</v>
      </c>
      <c r="V125" s="1" t="n">
        <f aca="false">IF(coding!$J125="",0,IF(ISNUMBER(SEARCH("T9",coding!$J125)),1,0))</f>
        <v>0</v>
      </c>
      <c r="W125" s="1" t="n">
        <f aca="false">IF(coding!$O125="",0,IF(ISNUMBER(SEARCH("T1",coding!$O125)),1,0))</f>
        <v>0</v>
      </c>
      <c r="X125" s="1" t="n">
        <f aca="false">IF(coding!$O125="",0,IF(ISNUMBER(SEARCH("T2",coding!$O125)),1,0))</f>
        <v>0</v>
      </c>
      <c r="Y125" s="1" t="n">
        <f aca="false">IF(coding!$O125="",0,IF(ISNUMBER(SEARCH("T3",coding!$O125)),1,0))</f>
        <v>0</v>
      </c>
      <c r="Z125" s="1" t="n">
        <f aca="false">IF(coding!$O125="",0,IF(ISNUMBER(SEARCH("T4",coding!$O125)),1,0))</f>
        <v>0</v>
      </c>
      <c r="AA125" s="1" t="n">
        <f aca="false">IF(coding!$O125="",0,IF(ISNUMBER(SEARCH("T5",coding!$O125)),1,0))</f>
        <v>1</v>
      </c>
      <c r="AB125" s="1" t="n">
        <f aca="false">IF(coding!$O125="",0,IF(ISNUMBER(SEARCH("T6",coding!$O125)),1,0))</f>
        <v>0</v>
      </c>
      <c r="AC125" s="1" t="n">
        <f aca="false">IF(coding!$O125="",0,IF(ISNUMBER(SEARCH("T7",coding!$O125)),1,0))</f>
        <v>0</v>
      </c>
      <c r="AD125" s="1" t="n">
        <f aca="false">IF(coding!$O125="",0,IF(ISNUMBER(SEARCH("T8",coding!$O125)),1,0))</f>
        <v>0</v>
      </c>
      <c r="AE125" s="1" t="n">
        <f aca="false">IF(coding!$O125="",0,IF(ISNUMBER(SEARCH("T9",coding!$O125)),1,0))</f>
        <v>0</v>
      </c>
      <c r="AF125" s="1" t="n">
        <f aca="false">SUMPRODUCT($E125:$M125,$N125:$V125)</f>
        <v>0</v>
      </c>
      <c r="AG125" s="1" t="n">
        <f aca="false">SUMPRODUCT(--(($E125:$M125+$N125:$V125)&gt;0))</f>
        <v>0</v>
      </c>
      <c r="AH125" s="1" t="str">
        <f aca="false">IF(AND($B125=1,$C125=1),IF($AG125=0,1,$AF125/$AG125),"")</f>
        <v/>
      </c>
      <c r="AI125" s="1" t="str">
        <f aca="false">IF(AND($B125=1,$C125=1),IF(coding!$I125=coding!$J125,1,0),"")</f>
        <v/>
      </c>
      <c r="AJ125" s="1" t="str">
        <f aca="false">IF($B125=1,IF(SUMPRODUCT(--(($E125:$M125+$W125:$AE125)&gt;0))=0,1,SUMPRODUCT($E125:$M125,$W125:$AE125)/SUMPRODUCT(--(($E125:$M125+$W125:$AE125)&gt;0))),"")</f>
        <v/>
      </c>
      <c r="AK125" s="1" t="str">
        <f aca="false">IF($C125=1,IF(SUMPRODUCT(--(($N125:$V125+$W125:$AE125)&gt;0))=0,1,SUMPRODUCT($N125:$V125,$W125:$AE125)/SUMPRODUCT(--(($N125:$V125+$W125:$AE125)&gt;0))),"")</f>
        <v/>
      </c>
    </row>
    <row r="126" customFormat="false" ht="15" hidden="false" customHeight="true" outlineLevel="0" collapsed="false">
      <c r="A126" s="1" t="str">
        <f aca="false">coding!$A126</f>
        <v>P125</v>
      </c>
      <c r="B126" s="1" t="n">
        <f aca="false">IF(coding!$I126="",0,1)</f>
        <v>0</v>
      </c>
      <c r="C126" s="1" t="n">
        <f aca="false">IF(coding!$J126="",0,1)</f>
        <v>0</v>
      </c>
      <c r="D126" s="1" t="n">
        <f aca="false">IF(coding!$O126="",0,1)</f>
        <v>1</v>
      </c>
      <c r="E126" s="1" t="n">
        <f aca="false">IF(coding!$I126="",0,IF(ISNUMBER(SEARCH("T1",coding!$I126)),1,0))</f>
        <v>0</v>
      </c>
      <c r="F126" s="1" t="n">
        <f aca="false">IF(coding!$I126="",0,IF(ISNUMBER(SEARCH("T2",coding!$I126)),1,0))</f>
        <v>0</v>
      </c>
      <c r="G126" s="1" t="n">
        <f aca="false">IF(coding!$I126="",0,IF(ISNUMBER(SEARCH("T3",coding!$I126)),1,0))</f>
        <v>0</v>
      </c>
      <c r="H126" s="1" t="n">
        <f aca="false">IF(coding!$I126="",0,IF(ISNUMBER(SEARCH("T4",coding!$I126)),1,0))</f>
        <v>0</v>
      </c>
      <c r="I126" s="1" t="n">
        <f aca="false">IF(coding!$I126="",0,IF(ISNUMBER(SEARCH("T5",coding!$I126)),1,0))</f>
        <v>0</v>
      </c>
      <c r="J126" s="1" t="n">
        <f aca="false">IF(coding!$I126="",0,IF(ISNUMBER(SEARCH("T6",coding!$I126)),1,0))</f>
        <v>0</v>
      </c>
      <c r="K126" s="1" t="n">
        <f aca="false">IF(coding!$I126="",0,IF(ISNUMBER(SEARCH("T7",coding!$I126)),1,0))</f>
        <v>0</v>
      </c>
      <c r="L126" s="1" t="n">
        <f aca="false">IF(coding!$I126="",0,IF(ISNUMBER(SEARCH("T8",coding!$I126)),1,0))</f>
        <v>0</v>
      </c>
      <c r="M126" s="1" t="n">
        <f aca="false">IF(coding!$I126="",0,IF(ISNUMBER(SEARCH("T9",coding!$I126)),1,0))</f>
        <v>0</v>
      </c>
      <c r="N126" s="1" t="n">
        <f aca="false">IF(coding!$J126="",0,IF(ISNUMBER(SEARCH("T1",coding!$J126)),1,0))</f>
        <v>0</v>
      </c>
      <c r="O126" s="1" t="n">
        <f aca="false">IF(coding!$J126="",0,IF(ISNUMBER(SEARCH("T2",coding!$J126)),1,0))</f>
        <v>0</v>
      </c>
      <c r="P126" s="1" t="n">
        <f aca="false">IF(coding!$J126="",0,IF(ISNUMBER(SEARCH("T3",coding!$J126)),1,0))</f>
        <v>0</v>
      </c>
      <c r="Q126" s="1" t="n">
        <f aca="false">IF(coding!$J126="",0,IF(ISNUMBER(SEARCH("T4",coding!$J126)),1,0))</f>
        <v>0</v>
      </c>
      <c r="R126" s="1" t="n">
        <f aca="false">IF(coding!$J126="",0,IF(ISNUMBER(SEARCH("T5",coding!$J126)),1,0))</f>
        <v>0</v>
      </c>
      <c r="S126" s="1" t="n">
        <f aca="false">IF(coding!$J126="",0,IF(ISNUMBER(SEARCH("T6",coding!$J126)),1,0))</f>
        <v>0</v>
      </c>
      <c r="T126" s="1" t="n">
        <f aca="false">IF(coding!$J126="",0,IF(ISNUMBER(SEARCH("T7",coding!$J126)),1,0))</f>
        <v>0</v>
      </c>
      <c r="U126" s="1" t="n">
        <f aca="false">IF(coding!$J126="",0,IF(ISNUMBER(SEARCH("T8",coding!$J126)),1,0))</f>
        <v>0</v>
      </c>
      <c r="V126" s="1" t="n">
        <f aca="false">IF(coding!$J126="",0,IF(ISNUMBER(SEARCH("T9",coding!$J126)),1,0))</f>
        <v>0</v>
      </c>
      <c r="W126" s="1" t="n">
        <f aca="false">IF(coding!$O126="",0,IF(ISNUMBER(SEARCH("T1",coding!$O126)),1,0))</f>
        <v>1</v>
      </c>
      <c r="X126" s="1" t="n">
        <f aca="false">IF(coding!$O126="",0,IF(ISNUMBER(SEARCH("T2",coding!$O126)),1,0))</f>
        <v>1</v>
      </c>
      <c r="Y126" s="1" t="n">
        <f aca="false">IF(coding!$O126="",0,IF(ISNUMBER(SEARCH("T3",coding!$O126)),1,0))</f>
        <v>0</v>
      </c>
      <c r="Z126" s="1" t="n">
        <f aca="false">IF(coding!$O126="",0,IF(ISNUMBER(SEARCH("T4",coding!$O126)),1,0))</f>
        <v>0</v>
      </c>
      <c r="AA126" s="1" t="n">
        <f aca="false">IF(coding!$O126="",0,IF(ISNUMBER(SEARCH("T5",coding!$O126)),1,0))</f>
        <v>0</v>
      </c>
      <c r="AB126" s="1" t="n">
        <f aca="false">IF(coding!$O126="",0,IF(ISNUMBER(SEARCH("T6",coding!$O126)),1,0))</f>
        <v>0</v>
      </c>
      <c r="AC126" s="1" t="n">
        <f aca="false">IF(coding!$O126="",0,IF(ISNUMBER(SEARCH("T7",coding!$O126)),1,0))</f>
        <v>0</v>
      </c>
      <c r="AD126" s="1" t="n">
        <f aca="false">IF(coding!$O126="",0,IF(ISNUMBER(SEARCH("T8",coding!$O126)),1,0))</f>
        <v>0</v>
      </c>
      <c r="AE126" s="1" t="n">
        <f aca="false">IF(coding!$O126="",0,IF(ISNUMBER(SEARCH("T9",coding!$O126)),1,0))</f>
        <v>0</v>
      </c>
      <c r="AF126" s="1" t="n">
        <f aca="false">SUMPRODUCT($E126:$M126,$N126:$V126)</f>
        <v>0</v>
      </c>
      <c r="AG126" s="1" t="n">
        <f aca="false">SUMPRODUCT(--(($E126:$M126+$N126:$V126)&gt;0))</f>
        <v>0</v>
      </c>
      <c r="AH126" s="1" t="str">
        <f aca="false">IF(AND($B126=1,$C126=1),IF($AG126=0,1,$AF126/$AG126),"")</f>
        <v/>
      </c>
      <c r="AI126" s="1" t="str">
        <f aca="false">IF(AND($B126=1,$C126=1),IF(coding!$I126=coding!$J126,1,0),"")</f>
        <v/>
      </c>
      <c r="AJ126" s="1" t="str">
        <f aca="false">IF($B126=1,IF(SUMPRODUCT(--(($E126:$M126+$W126:$AE126)&gt;0))=0,1,SUMPRODUCT($E126:$M126,$W126:$AE126)/SUMPRODUCT(--(($E126:$M126+$W126:$AE126)&gt;0))),"")</f>
        <v/>
      </c>
      <c r="AK126" s="1" t="str">
        <f aca="false">IF($C126=1,IF(SUMPRODUCT(--(($N126:$V126+$W126:$AE126)&gt;0))=0,1,SUMPRODUCT($N126:$V126,$W126:$AE126)/SUMPRODUCT(--(($N126:$V126+$W126:$AE126)&gt;0))),"")</f>
        <v/>
      </c>
    </row>
    <row r="127" customFormat="false" ht="15" hidden="false" customHeight="true" outlineLevel="0" collapsed="false">
      <c r="A127" s="1" t="str">
        <f aca="false">coding!$A127</f>
        <v>P126</v>
      </c>
      <c r="B127" s="1" t="n">
        <f aca="false">IF(coding!$I127="",0,1)</f>
        <v>0</v>
      </c>
      <c r="C127" s="1" t="n">
        <f aca="false">IF(coding!$J127="",0,1)</f>
        <v>0</v>
      </c>
      <c r="D127" s="1" t="n">
        <f aca="false">IF(coding!$O127="",0,1)</f>
        <v>1</v>
      </c>
      <c r="E127" s="1" t="n">
        <f aca="false">IF(coding!$I127="",0,IF(ISNUMBER(SEARCH("T1",coding!$I127)),1,0))</f>
        <v>0</v>
      </c>
      <c r="F127" s="1" t="n">
        <f aca="false">IF(coding!$I127="",0,IF(ISNUMBER(SEARCH("T2",coding!$I127)),1,0))</f>
        <v>0</v>
      </c>
      <c r="G127" s="1" t="n">
        <f aca="false">IF(coding!$I127="",0,IF(ISNUMBER(SEARCH("T3",coding!$I127)),1,0))</f>
        <v>0</v>
      </c>
      <c r="H127" s="1" t="n">
        <f aca="false">IF(coding!$I127="",0,IF(ISNUMBER(SEARCH("T4",coding!$I127)),1,0))</f>
        <v>0</v>
      </c>
      <c r="I127" s="1" t="n">
        <f aca="false">IF(coding!$I127="",0,IF(ISNUMBER(SEARCH("T5",coding!$I127)),1,0))</f>
        <v>0</v>
      </c>
      <c r="J127" s="1" t="n">
        <f aca="false">IF(coding!$I127="",0,IF(ISNUMBER(SEARCH("T6",coding!$I127)),1,0))</f>
        <v>0</v>
      </c>
      <c r="K127" s="1" t="n">
        <f aca="false">IF(coding!$I127="",0,IF(ISNUMBER(SEARCH("T7",coding!$I127)),1,0))</f>
        <v>0</v>
      </c>
      <c r="L127" s="1" t="n">
        <f aca="false">IF(coding!$I127="",0,IF(ISNUMBER(SEARCH("T8",coding!$I127)),1,0))</f>
        <v>0</v>
      </c>
      <c r="M127" s="1" t="n">
        <f aca="false">IF(coding!$I127="",0,IF(ISNUMBER(SEARCH("T9",coding!$I127)),1,0))</f>
        <v>0</v>
      </c>
      <c r="N127" s="1" t="n">
        <f aca="false">IF(coding!$J127="",0,IF(ISNUMBER(SEARCH("T1",coding!$J127)),1,0))</f>
        <v>0</v>
      </c>
      <c r="O127" s="1" t="n">
        <f aca="false">IF(coding!$J127="",0,IF(ISNUMBER(SEARCH("T2",coding!$J127)),1,0))</f>
        <v>0</v>
      </c>
      <c r="P127" s="1" t="n">
        <f aca="false">IF(coding!$J127="",0,IF(ISNUMBER(SEARCH("T3",coding!$J127)),1,0))</f>
        <v>0</v>
      </c>
      <c r="Q127" s="1" t="n">
        <f aca="false">IF(coding!$J127="",0,IF(ISNUMBER(SEARCH("T4",coding!$J127)),1,0))</f>
        <v>0</v>
      </c>
      <c r="R127" s="1" t="n">
        <f aca="false">IF(coding!$J127="",0,IF(ISNUMBER(SEARCH("T5",coding!$J127)),1,0))</f>
        <v>0</v>
      </c>
      <c r="S127" s="1" t="n">
        <f aca="false">IF(coding!$J127="",0,IF(ISNUMBER(SEARCH("T6",coding!$J127)),1,0))</f>
        <v>0</v>
      </c>
      <c r="T127" s="1" t="n">
        <f aca="false">IF(coding!$J127="",0,IF(ISNUMBER(SEARCH("T7",coding!$J127)),1,0))</f>
        <v>0</v>
      </c>
      <c r="U127" s="1" t="n">
        <f aca="false">IF(coding!$J127="",0,IF(ISNUMBER(SEARCH("T8",coding!$J127)),1,0))</f>
        <v>0</v>
      </c>
      <c r="V127" s="1" t="n">
        <f aca="false">IF(coding!$J127="",0,IF(ISNUMBER(SEARCH("T9",coding!$J127)),1,0))</f>
        <v>0</v>
      </c>
      <c r="W127" s="1" t="n">
        <f aca="false">IF(coding!$O127="",0,IF(ISNUMBER(SEARCH("T1",coding!$O127)),1,0))</f>
        <v>1</v>
      </c>
      <c r="X127" s="1" t="n">
        <f aca="false">IF(coding!$O127="",0,IF(ISNUMBER(SEARCH("T2",coding!$O127)),1,0))</f>
        <v>0</v>
      </c>
      <c r="Y127" s="1" t="n">
        <f aca="false">IF(coding!$O127="",0,IF(ISNUMBER(SEARCH("T3",coding!$O127)),1,0))</f>
        <v>0</v>
      </c>
      <c r="Z127" s="1" t="n">
        <f aca="false">IF(coding!$O127="",0,IF(ISNUMBER(SEARCH("T4",coding!$O127)),1,0))</f>
        <v>0</v>
      </c>
      <c r="AA127" s="1" t="n">
        <f aca="false">IF(coding!$O127="",0,IF(ISNUMBER(SEARCH("T5",coding!$O127)),1,0))</f>
        <v>0</v>
      </c>
      <c r="AB127" s="1" t="n">
        <f aca="false">IF(coding!$O127="",0,IF(ISNUMBER(SEARCH("T6",coding!$O127)),1,0))</f>
        <v>0</v>
      </c>
      <c r="AC127" s="1" t="n">
        <f aca="false">IF(coding!$O127="",0,IF(ISNUMBER(SEARCH("T7",coding!$O127)),1,0))</f>
        <v>0</v>
      </c>
      <c r="AD127" s="1" t="n">
        <f aca="false">IF(coding!$O127="",0,IF(ISNUMBER(SEARCH("T8",coding!$O127)),1,0))</f>
        <v>0</v>
      </c>
      <c r="AE127" s="1" t="n">
        <f aca="false">IF(coding!$O127="",0,IF(ISNUMBER(SEARCH("T9",coding!$O127)),1,0))</f>
        <v>0</v>
      </c>
      <c r="AF127" s="1" t="n">
        <f aca="false">SUMPRODUCT($E127:$M127,$N127:$V127)</f>
        <v>0</v>
      </c>
      <c r="AG127" s="1" t="n">
        <f aca="false">SUMPRODUCT(--(($E127:$M127+$N127:$V127)&gt;0))</f>
        <v>0</v>
      </c>
      <c r="AH127" s="1" t="str">
        <f aca="false">IF(AND($B127=1,$C127=1),IF($AG127=0,1,$AF127/$AG127),"")</f>
        <v/>
      </c>
      <c r="AI127" s="1" t="str">
        <f aca="false">IF(AND($B127=1,$C127=1),IF(coding!$I127=coding!$J127,1,0),"")</f>
        <v/>
      </c>
      <c r="AJ127" s="1" t="str">
        <f aca="false">IF($B127=1,IF(SUMPRODUCT(--(($E127:$M127+$W127:$AE127)&gt;0))=0,1,SUMPRODUCT($E127:$M127,$W127:$AE127)/SUMPRODUCT(--(($E127:$M127+$W127:$AE127)&gt;0))),"")</f>
        <v/>
      </c>
      <c r="AK127" s="1" t="str">
        <f aca="false">IF($C127=1,IF(SUMPRODUCT(--(($N127:$V127+$W127:$AE127)&gt;0))=0,1,SUMPRODUCT($N127:$V127,$W127:$AE127)/SUMPRODUCT(--(($N127:$V127+$W127:$AE127)&gt;0))),"")</f>
        <v/>
      </c>
    </row>
    <row r="128" customFormat="false" ht="15" hidden="false" customHeight="true" outlineLevel="0" collapsed="false">
      <c r="A128" s="1" t="str">
        <f aca="false">coding!$A128</f>
        <v>P127</v>
      </c>
      <c r="B128" s="1" t="n">
        <f aca="false">IF(coding!$I128="",0,1)</f>
        <v>0</v>
      </c>
      <c r="C128" s="1" t="n">
        <f aca="false">IF(coding!$J128="",0,1)</f>
        <v>0</v>
      </c>
      <c r="D128" s="1" t="n">
        <f aca="false">IF(coding!$O128="",0,1)</f>
        <v>1</v>
      </c>
      <c r="E128" s="1" t="n">
        <f aca="false">IF(coding!$I128="",0,IF(ISNUMBER(SEARCH("T1",coding!$I128)),1,0))</f>
        <v>0</v>
      </c>
      <c r="F128" s="1" t="n">
        <f aca="false">IF(coding!$I128="",0,IF(ISNUMBER(SEARCH("T2",coding!$I128)),1,0))</f>
        <v>0</v>
      </c>
      <c r="G128" s="1" t="n">
        <f aca="false">IF(coding!$I128="",0,IF(ISNUMBER(SEARCH("T3",coding!$I128)),1,0))</f>
        <v>0</v>
      </c>
      <c r="H128" s="1" t="n">
        <f aca="false">IF(coding!$I128="",0,IF(ISNUMBER(SEARCH("T4",coding!$I128)),1,0))</f>
        <v>0</v>
      </c>
      <c r="I128" s="1" t="n">
        <f aca="false">IF(coding!$I128="",0,IF(ISNUMBER(SEARCH("T5",coding!$I128)),1,0))</f>
        <v>0</v>
      </c>
      <c r="J128" s="1" t="n">
        <f aca="false">IF(coding!$I128="",0,IF(ISNUMBER(SEARCH("T6",coding!$I128)),1,0))</f>
        <v>0</v>
      </c>
      <c r="K128" s="1" t="n">
        <f aca="false">IF(coding!$I128="",0,IF(ISNUMBER(SEARCH("T7",coding!$I128)),1,0))</f>
        <v>0</v>
      </c>
      <c r="L128" s="1" t="n">
        <f aca="false">IF(coding!$I128="",0,IF(ISNUMBER(SEARCH("T8",coding!$I128)),1,0))</f>
        <v>0</v>
      </c>
      <c r="M128" s="1" t="n">
        <f aca="false">IF(coding!$I128="",0,IF(ISNUMBER(SEARCH("T9",coding!$I128)),1,0))</f>
        <v>0</v>
      </c>
      <c r="N128" s="1" t="n">
        <f aca="false">IF(coding!$J128="",0,IF(ISNUMBER(SEARCH("T1",coding!$J128)),1,0))</f>
        <v>0</v>
      </c>
      <c r="O128" s="1" t="n">
        <f aca="false">IF(coding!$J128="",0,IF(ISNUMBER(SEARCH("T2",coding!$J128)),1,0))</f>
        <v>0</v>
      </c>
      <c r="P128" s="1" t="n">
        <f aca="false">IF(coding!$J128="",0,IF(ISNUMBER(SEARCH("T3",coding!$J128)),1,0))</f>
        <v>0</v>
      </c>
      <c r="Q128" s="1" t="n">
        <f aca="false">IF(coding!$J128="",0,IF(ISNUMBER(SEARCH("T4",coding!$J128)),1,0))</f>
        <v>0</v>
      </c>
      <c r="R128" s="1" t="n">
        <f aca="false">IF(coding!$J128="",0,IF(ISNUMBER(SEARCH("T5",coding!$J128)),1,0))</f>
        <v>0</v>
      </c>
      <c r="S128" s="1" t="n">
        <f aca="false">IF(coding!$J128="",0,IF(ISNUMBER(SEARCH("T6",coding!$J128)),1,0))</f>
        <v>0</v>
      </c>
      <c r="T128" s="1" t="n">
        <f aca="false">IF(coding!$J128="",0,IF(ISNUMBER(SEARCH("T7",coding!$J128)),1,0))</f>
        <v>0</v>
      </c>
      <c r="U128" s="1" t="n">
        <f aca="false">IF(coding!$J128="",0,IF(ISNUMBER(SEARCH("T8",coding!$J128)),1,0))</f>
        <v>0</v>
      </c>
      <c r="V128" s="1" t="n">
        <f aca="false">IF(coding!$J128="",0,IF(ISNUMBER(SEARCH("T9",coding!$J128)),1,0))</f>
        <v>0</v>
      </c>
      <c r="W128" s="1" t="n">
        <f aca="false">IF(coding!$O128="",0,IF(ISNUMBER(SEARCH("T1",coding!$O128)),1,0))</f>
        <v>1</v>
      </c>
      <c r="X128" s="1" t="n">
        <f aca="false">IF(coding!$O128="",0,IF(ISNUMBER(SEARCH("T2",coding!$O128)),1,0))</f>
        <v>0</v>
      </c>
      <c r="Y128" s="1" t="n">
        <f aca="false">IF(coding!$O128="",0,IF(ISNUMBER(SEARCH("T3",coding!$O128)),1,0))</f>
        <v>0</v>
      </c>
      <c r="Z128" s="1" t="n">
        <f aca="false">IF(coding!$O128="",0,IF(ISNUMBER(SEARCH("T4",coding!$O128)),1,0))</f>
        <v>1</v>
      </c>
      <c r="AA128" s="1" t="n">
        <f aca="false">IF(coding!$O128="",0,IF(ISNUMBER(SEARCH("T5",coding!$O128)),1,0))</f>
        <v>0</v>
      </c>
      <c r="AB128" s="1" t="n">
        <f aca="false">IF(coding!$O128="",0,IF(ISNUMBER(SEARCH("T6",coding!$O128)),1,0))</f>
        <v>0</v>
      </c>
      <c r="AC128" s="1" t="n">
        <f aca="false">IF(coding!$O128="",0,IF(ISNUMBER(SEARCH("T7",coding!$O128)),1,0))</f>
        <v>0</v>
      </c>
      <c r="AD128" s="1" t="n">
        <f aca="false">IF(coding!$O128="",0,IF(ISNUMBER(SEARCH("T8",coding!$O128)),1,0))</f>
        <v>0</v>
      </c>
      <c r="AE128" s="1" t="n">
        <f aca="false">IF(coding!$O128="",0,IF(ISNUMBER(SEARCH("T9",coding!$O128)),1,0))</f>
        <v>0</v>
      </c>
      <c r="AF128" s="1" t="n">
        <f aca="false">SUMPRODUCT($E128:$M128,$N128:$V128)</f>
        <v>0</v>
      </c>
      <c r="AG128" s="1" t="n">
        <f aca="false">SUMPRODUCT(--(($E128:$M128+$N128:$V128)&gt;0))</f>
        <v>0</v>
      </c>
      <c r="AH128" s="1" t="str">
        <f aca="false">IF(AND($B128=1,$C128=1),IF($AG128=0,1,$AF128/$AG128),"")</f>
        <v/>
      </c>
      <c r="AI128" s="1" t="str">
        <f aca="false">IF(AND($B128=1,$C128=1),IF(coding!$I128=coding!$J128,1,0),"")</f>
        <v/>
      </c>
      <c r="AJ128" s="1" t="str">
        <f aca="false">IF($B128=1,IF(SUMPRODUCT(--(($E128:$M128+$W128:$AE128)&gt;0))=0,1,SUMPRODUCT($E128:$M128,$W128:$AE128)/SUMPRODUCT(--(($E128:$M128+$W128:$AE128)&gt;0))),"")</f>
        <v/>
      </c>
      <c r="AK128" s="1" t="str">
        <f aca="false">IF($C128=1,IF(SUMPRODUCT(--(($N128:$V128+$W128:$AE128)&gt;0))=0,1,SUMPRODUCT($N128:$V128,$W128:$AE128)/SUMPRODUCT(--(($N128:$V128+$W128:$AE128)&gt;0))),"")</f>
        <v/>
      </c>
    </row>
    <row r="129" customFormat="false" ht="15" hidden="false" customHeight="true" outlineLevel="0" collapsed="false">
      <c r="A129" s="1" t="str">
        <f aca="false">coding!$A129</f>
        <v>P128</v>
      </c>
      <c r="B129" s="1" t="n">
        <f aca="false">IF(coding!$I129="",0,1)</f>
        <v>0</v>
      </c>
      <c r="C129" s="1" t="n">
        <f aca="false">IF(coding!$J129="",0,1)</f>
        <v>0</v>
      </c>
      <c r="D129" s="1" t="n">
        <f aca="false">IF(coding!$O129="",0,1)</f>
        <v>1</v>
      </c>
      <c r="E129" s="1" t="n">
        <f aca="false">IF(coding!$I129="",0,IF(ISNUMBER(SEARCH("T1",coding!$I129)),1,0))</f>
        <v>0</v>
      </c>
      <c r="F129" s="1" t="n">
        <f aca="false">IF(coding!$I129="",0,IF(ISNUMBER(SEARCH("T2",coding!$I129)),1,0))</f>
        <v>0</v>
      </c>
      <c r="G129" s="1" t="n">
        <f aca="false">IF(coding!$I129="",0,IF(ISNUMBER(SEARCH("T3",coding!$I129)),1,0))</f>
        <v>0</v>
      </c>
      <c r="H129" s="1" t="n">
        <f aca="false">IF(coding!$I129="",0,IF(ISNUMBER(SEARCH("T4",coding!$I129)),1,0))</f>
        <v>0</v>
      </c>
      <c r="I129" s="1" t="n">
        <f aca="false">IF(coding!$I129="",0,IF(ISNUMBER(SEARCH("T5",coding!$I129)),1,0))</f>
        <v>0</v>
      </c>
      <c r="J129" s="1" t="n">
        <f aca="false">IF(coding!$I129="",0,IF(ISNUMBER(SEARCH("T6",coding!$I129)),1,0))</f>
        <v>0</v>
      </c>
      <c r="K129" s="1" t="n">
        <f aca="false">IF(coding!$I129="",0,IF(ISNUMBER(SEARCH("T7",coding!$I129)),1,0))</f>
        <v>0</v>
      </c>
      <c r="L129" s="1" t="n">
        <f aca="false">IF(coding!$I129="",0,IF(ISNUMBER(SEARCH("T8",coding!$I129)),1,0))</f>
        <v>0</v>
      </c>
      <c r="M129" s="1" t="n">
        <f aca="false">IF(coding!$I129="",0,IF(ISNUMBER(SEARCH("T9",coding!$I129)),1,0))</f>
        <v>0</v>
      </c>
      <c r="N129" s="1" t="n">
        <f aca="false">IF(coding!$J129="",0,IF(ISNUMBER(SEARCH("T1",coding!$J129)),1,0))</f>
        <v>0</v>
      </c>
      <c r="O129" s="1" t="n">
        <f aca="false">IF(coding!$J129="",0,IF(ISNUMBER(SEARCH("T2",coding!$J129)),1,0))</f>
        <v>0</v>
      </c>
      <c r="P129" s="1" t="n">
        <f aca="false">IF(coding!$J129="",0,IF(ISNUMBER(SEARCH("T3",coding!$J129)),1,0))</f>
        <v>0</v>
      </c>
      <c r="Q129" s="1" t="n">
        <f aca="false">IF(coding!$J129="",0,IF(ISNUMBER(SEARCH("T4",coding!$J129)),1,0))</f>
        <v>0</v>
      </c>
      <c r="R129" s="1" t="n">
        <f aca="false">IF(coding!$J129="",0,IF(ISNUMBER(SEARCH("T5",coding!$J129)),1,0))</f>
        <v>0</v>
      </c>
      <c r="S129" s="1" t="n">
        <f aca="false">IF(coding!$J129="",0,IF(ISNUMBER(SEARCH("T6",coding!$J129)),1,0))</f>
        <v>0</v>
      </c>
      <c r="T129" s="1" t="n">
        <f aca="false">IF(coding!$J129="",0,IF(ISNUMBER(SEARCH("T7",coding!$J129)),1,0))</f>
        <v>0</v>
      </c>
      <c r="U129" s="1" t="n">
        <f aca="false">IF(coding!$J129="",0,IF(ISNUMBER(SEARCH("T8",coding!$J129)),1,0))</f>
        <v>0</v>
      </c>
      <c r="V129" s="1" t="n">
        <f aca="false">IF(coding!$J129="",0,IF(ISNUMBER(SEARCH("T9",coding!$J129)),1,0))</f>
        <v>0</v>
      </c>
      <c r="W129" s="1" t="n">
        <f aca="false">IF(coding!$O129="",0,IF(ISNUMBER(SEARCH("T1",coding!$O129)),1,0))</f>
        <v>0</v>
      </c>
      <c r="X129" s="1" t="n">
        <f aca="false">IF(coding!$O129="",0,IF(ISNUMBER(SEARCH("T2",coding!$O129)),1,0))</f>
        <v>0</v>
      </c>
      <c r="Y129" s="1" t="n">
        <f aca="false">IF(coding!$O129="",0,IF(ISNUMBER(SEARCH("T3",coding!$O129)),1,0))</f>
        <v>0</v>
      </c>
      <c r="Z129" s="1" t="n">
        <f aca="false">IF(coding!$O129="",0,IF(ISNUMBER(SEARCH("T4",coding!$O129)),1,0))</f>
        <v>0</v>
      </c>
      <c r="AA129" s="1" t="n">
        <f aca="false">IF(coding!$O129="",0,IF(ISNUMBER(SEARCH("T5",coding!$O129)),1,0))</f>
        <v>1</v>
      </c>
      <c r="AB129" s="1" t="n">
        <f aca="false">IF(coding!$O129="",0,IF(ISNUMBER(SEARCH("T6",coding!$O129)),1,0))</f>
        <v>0</v>
      </c>
      <c r="AC129" s="1" t="n">
        <f aca="false">IF(coding!$O129="",0,IF(ISNUMBER(SEARCH("T7",coding!$O129)),1,0))</f>
        <v>0</v>
      </c>
      <c r="AD129" s="1" t="n">
        <f aca="false">IF(coding!$O129="",0,IF(ISNUMBER(SEARCH("T8",coding!$O129)),1,0))</f>
        <v>0</v>
      </c>
      <c r="AE129" s="1" t="n">
        <f aca="false">IF(coding!$O129="",0,IF(ISNUMBER(SEARCH("T9",coding!$O129)),1,0))</f>
        <v>0</v>
      </c>
      <c r="AF129" s="1" t="n">
        <f aca="false">SUMPRODUCT($E129:$M129,$N129:$V129)</f>
        <v>0</v>
      </c>
      <c r="AG129" s="1" t="n">
        <f aca="false">SUMPRODUCT(--(($E129:$M129+$N129:$V129)&gt;0))</f>
        <v>0</v>
      </c>
      <c r="AH129" s="1" t="str">
        <f aca="false">IF(AND($B129=1,$C129=1),IF($AG129=0,1,$AF129/$AG129),"")</f>
        <v/>
      </c>
      <c r="AI129" s="1" t="str">
        <f aca="false">IF(AND($B129=1,$C129=1),IF(coding!$I129=coding!$J129,1,0),"")</f>
        <v/>
      </c>
      <c r="AJ129" s="1" t="str">
        <f aca="false">IF($B129=1,IF(SUMPRODUCT(--(($E129:$M129+$W129:$AE129)&gt;0))=0,1,SUMPRODUCT($E129:$M129,$W129:$AE129)/SUMPRODUCT(--(($E129:$M129+$W129:$AE129)&gt;0))),"")</f>
        <v/>
      </c>
      <c r="AK129" s="1" t="str">
        <f aca="false">IF($C129=1,IF(SUMPRODUCT(--(($N129:$V129+$W129:$AE129)&gt;0))=0,1,SUMPRODUCT($N129:$V129,$W129:$AE129)/SUMPRODUCT(--(($N129:$V129+$W129:$AE129)&gt;0))),"")</f>
        <v/>
      </c>
    </row>
    <row r="130" customFormat="false" ht="15" hidden="false" customHeight="true" outlineLevel="0" collapsed="false">
      <c r="A130" s="1" t="str">
        <f aca="false">coding!$A130</f>
        <v>P129</v>
      </c>
      <c r="B130" s="1" t="n">
        <f aca="false">IF(coding!$I130="",0,1)</f>
        <v>0</v>
      </c>
      <c r="C130" s="1" t="n">
        <f aca="false">IF(coding!$J130="",0,1)</f>
        <v>0</v>
      </c>
      <c r="D130" s="1" t="n">
        <f aca="false">IF(coding!$O130="",0,1)</f>
        <v>1</v>
      </c>
      <c r="E130" s="1" t="n">
        <f aca="false">IF(coding!$I130="",0,IF(ISNUMBER(SEARCH("T1",coding!$I130)),1,0))</f>
        <v>0</v>
      </c>
      <c r="F130" s="1" t="n">
        <f aca="false">IF(coding!$I130="",0,IF(ISNUMBER(SEARCH("T2",coding!$I130)),1,0))</f>
        <v>0</v>
      </c>
      <c r="G130" s="1" t="n">
        <f aca="false">IF(coding!$I130="",0,IF(ISNUMBER(SEARCH("T3",coding!$I130)),1,0))</f>
        <v>0</v>
      </c>
      <c r="H130" s="1" t="n">
        <f aca="false">IF(coding!$I130="",0,IF(ISNUMBER(SEARCH("T4",coding!$I130)),1,0))</f>
        <v>0</v>
      </c>
      <c r="I130" s="1" t="n">
        <f aca="false">IF(coding!$I130="",0,IF(ISNUMBER(SEARCH("T5",coding!$I130)),1,0))</f>
        <v>0</v>
      </c>
      <c r="J130" s="1" t="n">
        <f aca="false">IF(coding!$I130="",0,IF(ISNUMBER(SEARCH("T6",coding!$I130)),1,0))</f>
        <v>0</v>
      </c>
      <c r="K130" s="1" t="n">
        <f aca="false">IF(coding!$I130="",0,IF(ISNUMBER(SEARCH("T7",coding!$I130)),1,0))</f>
        <v>0</v>
      </c>
      <c r="L130" s="1" t="n">
        <f aca="false">IF(coding!$I130="",0,IF(ISNUMBER(SEARCH("T8",coding!$I130)),1,0))</f>
        <v>0</v>
      </c>
      <c r="M130" s="1" t="n">
        <f aca="false">IF(coding!$I130="",0,IF(ISNUMBER(SEARCH("T9",coding!$I130)),1,0))</f>
        <v>0</v>
      </c>
      <c r="N130" s="1" t="n">
        <f aca="false">IF(coding!$J130="",0,IF(ISNUMBER(SEARCH("T1",coding!$J130)),1,0))</f>
        <v>0</v>
      </c>
      <c r="O130" s="1" t="n">
        <f aca="false">IF(coding!$J130="",0,IF(ISNUMBER(SEARCH("T2",coding!$J130)),1,0))</f>
        <v>0</v>
      </c>
      <c r="P130" s="1" t="n">
        <f aca="false">IF(coding!$J130="",0,IF(ISNUMBER(SEARCH("T3",coding!$J130)),1,0))</f>
        <v>0</v>
      </c>
      <c r="Q130" s="1" t="n">
        <f aca="false">IF(coding!$J130="",0,IF(ISNUMBER(SEARCH("T4",coding!$J130)),1,0))</f>
        <v>0</v>
      </c>
      <c r="R130" s="1" t="n">
        <f aca="false">IF(coding!$J130="",0,IF(ISNUMBER(SEARCH("T5",coding!$J130)),1,0))</f>
        <v>0</v>
      </c>
      <c r="S130" s="1" t="n">
        <f aca="false">IF(coding!$J130="",0,IF(ISNUMBER(SEARCH("T6",coding!$J130)),1,0))</f>
        <v>0</v>
      </c>
      <c r="T130" s="1" t="n">
        <f aca="false">IF(coding!$J130="",0,IF(ISNUMBER(SEARCH("T7",coding!$J130)),1,0))</f>
        <v>0</v>
      </c>
      <c r="U130" s="1" t="n">
        <f aca="false">IF(coding!$J130="",0,IF(ISNUMBER(SEARCH("T8",coding!$J130)),1,0))</f>
        <v>0</v>
      </c>
      <c r="V130" s="1" t="n">
        <f aca="false">IF(coding!$J130="",0,IF(ISNUMBER(SEARCH("T9",coding!$J130)),1,0))</f>
        <v>0</v>
      </c>
      <c r="W130" s="1" t="n">
        <f aca="false">IF(coding!$O130="",0,IF(ISNUMBER(SEARCH("T1",coding!$O130)),1,0))</f>
        <v>1</v>
      </c>
      <c r="X130" s="1" t="n">
        <f aca="false">IF(coding!$O130="",0,IF(ISNUMBER(SEARCH("T2",coding!$O130)),1,0))</f>
        <v>1</v>
      </c>
      <c r="Y130" s="1" t="n">
        <f aca="false">IF(coding!$O130="",0,IF(ISNUMBER(SEARCH("T3",coding!$O130)),1,0))</f>
        <v>0</v>
      </c>
      <c r="Z130" s="1" t="n">
        <f aca="false">IF(coding!$O130="",0,IF(ISNUMBER(SEARCH("T4",coding!$O130)),1,0))</f>
        <v>1</v>
      </c>
      <c r="AA130" s="1" t="n">
        <f aca="false">IF(coding!$O130="",0,IF(ISNUMBER(SEARCH("T5",coding!$O130)),1,0))</f>
        <v>0</v>
      </c>
      <c r="AB130" s="1" t="n">
        <f aca="false">IF(coding!$O130="",0,IF(ISNUMBER(SEARCH("T6",coding!$O130)),1,0))</f>
        <v>0</v>
      </c>
      <c r="AC130" s="1" t="n">
        <f aca="false">IF(coding!$O130="",0,IF(ISNUMBER(SEARCH("T7",coding!$O130)),1,0))</f>
        <v>0</v>
      </c>
      <c r="AD130" s="1" t="n">
        <f aca="false">IF(coding!$O130="",0,IF(ISNUMBER(SEARCH("T8",coding!$O130)),1,0))</f>
        <v>0</v>
      </c>
      <c r="AE130" s="1" t="n">
        <f aca="false">IF(coding!$O130="",0,IF(ISNUMBER(SEARCH("T9",coding!$O130)),1,0))</f>
        <v>0</v>
      </c>
      <c r="AF130" s="1" t="n">
        <f aca="false">SUMPRODUCT($E130:$M130,$N130:$V130)</f>
        <v>0</v>
      </c>
      <c r="AG130" s="1" t="n">
        <f aca="false">SUMPRODUCT(--(($E130:$M130+$N130:$V130)&gt;0))</f>
        <v>0</v>
      </c>
      <c r="AH130" s="1" t="str">
        <f aca="false">IF(AND($B130=1,$C130=1),IF($AG130=0,1,$AF130/$AG130),"")</f>
        <v/>
      </c>
      <c r="AI130" s="1" t="str">
        <f aca="false">IF(AND($B130=1,$C130=1),IF(coding!$I130=coding!$J130,1,0),"")</f>
        <v/>
      </c>
      <c r="AJ130" s="1" t="str">
        <f aca="false">IF($B130=1,IF(SUMPRODUCT(--(($E130:$M130+$W130:$AE130)&gt;0))=0,1,SUMPRODUCT($E130:$M130,$W130:$AE130)/SUMPRODUCT(--(($E130:$M130+$W130:$AE130)&gt;0))),"")</f>
        <v/>
      </c>
      <c r="AK130" s="1" t="str">
        <f aca="false">IF($C130=1,IF(SUMPRODUCT(--(($N130:$V130+$W130:$AE130)&gt;0))=0,1,SUMPRODUCT($N130:$V130,$W130:$AE130)/SUMPRODUCT(--(($N130:$V130+$W130:$AE130)&gt;0))),"")</f>
        <v/>
      </c>
    </row>
    <row r="131" customFormat="false" ht="15" hidden="false" customHeight="true" outlineLevel="0" collapsed="false">
      <c r="A131" s="1" t="str">
        <f aca="false">coding!$A131</f>
        <v>P130</v>
      </c>
      <c r="B131" s="1" t="n">
        <f aca="false">IF(coding!$I131="",0,1)</f>
        <v>0</v>
      </c>
      <c r="C131" s="1" t="n">
        <f aca="false">IF(coding!$J131="",0,1)</f>
        <v>0</v>
      </c>
      <c r="D131" s="1" t="n">
        <f aca="false">IF(coding!$O131="",0,1)</f>
        <v>1</v>
      </c>
      <c r="E131" s="1" t="n">
        <f aca="false">IF(coding!$I131="",0,IF(ISNUMBER(SEARCH("T1",coding!$I131)),1,0))</f>
        <v>0</v>
      </c>
      <c r="F131" s="1" t="n">
        <f aca="false">IF(coding!$I131="",0,IF(ISNUMBER(SEARCH("T2",coding!$I131)),1,0))</f>
        <v>0</v>
      </c>
      <c r="G131" s="1" t="n">
        <f aca="false">IF(coding!$I131="",0,IF(ISNUMBER(SEARCH("T3",coding!$I131)),1,0))</f>
        <v>0</v>
      </c>
      <c r="H131" s="1" t="n">
        <f aca="false">IF(coding!$I131="",0,IF(ISNUMBER(SEARCH("T4",coding!$I131)),1,0))</f>
        <v>0</v>
      </c>
      <c r="I131" s="1" t="n">
        <f aca="false">IF(coding!$I131="",0,IF(ISNUMBER(SEARCH("T5",coding!$I131)),1,0))</f>
        <v>0</v>
      </c>
      <c r="J131" s="1" t="n">
        <f aca="false">IF(coding!$I131="",0,IF(ISNUMBER(SEARCH("T6",coding!$I131)),1,0))</f>
        <v>0</v>
      </c>
      <c r="K131" s="1" t="n">
        <f aca="false">IF(coding!$I131="",0,IF(ISNUMBER(SEARCH("T7",coding!$I131)),1,0))</f>
        <v>0</v>
      </c>
      <c r="L131" s="1" t="n">
        <f aca="false">IF(coding!$I131="",0,IF(ISNUMBER(SEARCH("T8",coding!$I131)),1,0))</f>
        <v>0</v>
      </c>
      <c r="M131" s="1" t="n">
        <f aca="false">IF(coding!$I131="",0,IF(ISNUMBER(SEARCH("T9",coding!$I131)),1,0))</f>
        <v>0</v>
      </c>
      <c r="N131" s="1" t="n">
        <f aca="false">IF(coding!$J131="",0,IF(ISNUMBER(SEARCH("T1",coding!$J131)),1,0))</f>
        <v>0</v>
      </c>
      <c r="O131" s="1" t="n">
        <f aca="false">IF(coding!$J131="",0,IF(ISNUMBER(SEARCH("T2",coding!$J131)),1,0))</f>
        <v>0</v>
      </c>
      <c r="P131" s="1" t="n">
        <f aca="false">IF(coding!$J131="",0,IF(ISNUMBER(SEARCH("T3",coding!$J131)),1,0))</f>
        <v>0</v>
      </c>
      <c r="Q131" s="1" t="n">
        <f aca="false">IF(coding!$J131="",0,IF(ISNUMBER(SEARCH("T4",coding!$J131)),1,0))</f>
        <v>0</v>
      </c>
      <c r="R131" s="1" t="n">
        <f aca="false">IF(coding!$J131="",0,IF(ISNUMBER(SEARCH("T5",coding!$J131)),1,0))</f>
        <v>0</v>
      </c>
      <c r="S131" s="1" t="n">
        <f aca="false">IF(coding!$J131="",0,IF(ISNUMBER(SEARCH("T6",coding!$J131)),1,0))</f>
        <v>0</v>
      </c>
      <c r="T131" s="1" t="n">
        <f aca="false">IF(coding!$J131="",0,IF(ISNUMBER(SEARCH("T7",coding!$J131)),1,0))</f>
        <v>0</v>
      </c>
      <c r="U131" s="1" t="n">
        <f aca="false">IF(coding!$J131="",0,IF(ISNUMBER(SEARCH("T8",coding!$J131)),1,0))</f>
        <v>0</v>
      </c>
      <c r="V131" s="1" t="n">
        <f aca="false">IF(coding!$J131="",0,IF(ISNUMBER(SEARCH("T9",coding!$J131)),1,0))</f>
        <v>0</v>
      </c>
      <c r="W131" s="1" t="n">
        <f aca="false">IF(coding!$O131="",0,IF(ISNUMBER(SEARCH("T1",coding!$O131)),1,0))</f>
        <v>0</v>
      </c>
      <c r="X131" s="1" t="n">
        <f aca="false">IF(coding!$O131="",0,IF(ISNUMBER(SEARCH("T2",coding!$O131)),1,0))</f>
        <v>0</v>
      </c>
      <c r="Y131" s="1" t="n">
        <f aca="false">IF(coding!$O131="",0,IF(ISNUMBER(SEARCH("T3",coding!$O131)),1,0))</f>
        <v>1</v>
      </c>
      <c r="Z131" s="1" t="n">
        <f aca="false">IF(coding!$O131="",0,IF(ISNUMBER(SEARCH("T4",coding!$O131)),1,0))</f>
        <v>0</v>
      </c>
      <c r="AA131" s="1" t="n">
        <f aca="false">IF(coding!$O131="",0,IF(ISNUMBER(SEARCH("T5",coding!$O131)),1,0))</f>
        <v>0</v>
      </c>
      <c r="AB131" s="1" t="n">
        <f aca="false">IF(coding!$O131="",0,IF(ISNUMBER(SEARCH("T6",coding!$O131)),1,0))</f>
        <v>0</v>
      </c>
      <c r="AC131" s="1" t="n">
        <f aca="false">IF(coding!$O131="",0,IF(ISNUMBER(SEARCH("T7",coding!$O131)),1,0))</f>
        <v>0</v>
      </c>
      <c r="AD131" s="1" t="n">
        <f aca="false">IF(coding!$O131="",0,IF(ISNUMBER(SEARCH("T8",coding!$O131)),1,0))</f>
        <v>0</v>
      </c>
      <c r="AE131" s="1" t="n">
        <f aca="false">IF(coding!$O131="",0,IF(ISNUMBER(SEARCH("T9",coding!$O131)),1,0))</f>
        <v>0</v>
      </c>
      <c r="AF131" s="1" t="n">
        <f aca="false">SUMPRODUCT($E131:$M131,$N131:$V131)</f>
        <v>0</v>
      </c>
      <c r="AG131" s="1" t="n">
        <f aca="false">SUMPRODUCT(--(($E131:$M131+$N131:$V131)&gt;0))</f>
        <v>0</v>
      </c>
      <c r="AH131" s="1" t="str">
        <f aca="false">IF(AND($B131=1,$C131=1),IF($AG131=0,1,$AF131/$AG131),"")</f>
        <v/>
      </c>
      <c r="AI131" s="1" t="str">
        <f aca="false">IF(AND($B131=1,$C131=1),IF(coding!$I131=coding!$J131,1,0),"")</f>
        <v/>
      </c>
      <c r="AJ131" s="1" t="str">
        <f aca="false">IF($B131=1,IF(SUMPRODUCT(--(($E131:$M131+$W131:$AE131)&gt;0))=0,1,SUMPRODUCT($E131:$M131,$W131:$AE131)/SUMPRODUCT(--(($E131:$M131+$W131:$AE131)&gt;0))),"")</f>
        <v/>
      </c>
      <c r="AK131" s="1" t="str">
        <f aca="false">IF($C131=1,IF(SUMPRODUCT(--(($N131:$V131+$W131:$AE131)&gt;0))=0,1,SUMPRODUCT($N131:$V131,$W131:$AE131)/SUMPRODUCT(--(($N131:$V131+$W131:$AE131)&gt;0))),"")</f>
        <v/>
      </c>
    </row>
    <row r="132" customFormat="false" ht="15" hidden="false" customHeight="true" outlineLevel="0" collapsed="false">
      <c r="A132" s="1" t="str">
        <f aca="false">coding!$A132</f>
        <v>P131</v>
      </c>
      <c r="B132" s="1" t="n">
        <f aca="false">IF(coding!$I132="",0,1)</f>
        <v>0</v>
      </c>
      <c r="C132" s="1" t="n">
        <f aca="false">IF(coding!$J132="",0,1)</f>
        <v>0</v>
      </c>
      <c r="D132" s="1" t="n">
        <f aca="false">IF(coding!$O132="",0,1)</f>
        <v>1</v>
      </c>
      <c r="E132" s="1" t="n">
        <f aca="false">IF(coding!$I132="",0,IF(ISNUMBER(SEARCH("T1",coding!$I132)),1,0))</f>
        <v>0</v>
      </c>
      <c r="F132" s="1" t="n">
        <f aca="false">IF(coding!$I132="",0,IF(ISNUMBER(SEARCH("T2",coding!$I132)),1,0))</f>
        <v>0</v>
      </c>
      <c r="G132" s="1" t="n">
        <f aca="false">IF(coding!$I132="",0,IF(ISNUMBER(SEARCH("T3",coding!$I132)),1,0))</f>
        <v>0</v>
      </c>
      <c r="H132" s="1" t="n">
        <f aca="false">IF(coding!$I132="",0,IF(ISNUMBER(SEARCH("T4",coding!$I132)),1,0))</f>
        <v>0</v>
      </c>
      <c r="I132" s="1" t="n">
        <f aca="false">IF(coding!$I132="",0,IF(ISNUMBER(SEARCH("T5",coding!$I132)),1,0))</f>
        <v>0</v>
      </c>
      <c r="J132" s="1" t="n">
        <f aca="false">IF(coding!$I132="",0,IF(ISNUMBER(SEARCH("T6",coding!$I132)),1,0))</f>
        <v>0</v>
      </c>
      <c r="K132" s="1" t="n">
        <f aca="false">IF(coding!$I132="",0,IF(ISNUMBER(SEARCH("T7",coding!$I132)),1,0))</f>
        <v>0</v>
      </c>
      <c r="L132" s="1" t="n">
        <f aca="false">IF(coding!$I132="",0,IF(ISNUMBER(SEARCH("T8",coding!$I132)),1,0))</f>
        <v>0</v>
      </c>
      <c r="M132" s="1" t="n">
        <f aca="false">IF(coding!$I132="",0,IF(ISNUMBER(SEARCH("T9",coding!$I132)),1,0))</f>
        <v>0</v>
      </c>
      <c r="N132" s="1" t="n">
        <f aca="false">IF(coding!$J132="",0,IF(ISNUMBER(SEARCH("T1",coding!$J132)),1,0))</f>
        <v>0</v>
      </c>
      <c r="O132" s="1" t="n">
        <f aca="false">IF(coding!$J132="",0,IF(ISNUMBER(SEARCH("T2",coding!$J132)),1,0))</f>
        <v>0</v>
      </c>
      <c r="P132" s="1" t="n">
        <f aca="false">IF(coding!$J132="",0,IF(ISNUMBER(SEARCH("T3",coding!$J132)),1,0))</f>
        <v>0</v>
      </c>
      <c r="Q132" s="1" t="n">
        <f aca="false">IF(coding!$J132="",0,IF(ISNUMBER(SEARCH("T4",coding!$J132)),1,0))</f>
        <v>0</v>
      </c>
      <c r="R132" s="1" t="n">
        <f aca="false">IF(coding!$J132="",0,IF(ISNUMBER(SEARCH("T5",coding!$J132)),1,0))</f>
        <v>0</v>
      </c>
      <c r="S132" s="1" t="n">
        <f aca="false">IF(coding!$J132="",0,IF(ISNUMBER(SEARCH("T6",coding!$J132)),1,0))</f>
        <v>0</v>
      </c>
      <c r="T132" s="1" t="n">
        <f aca="false">IF(coding!$J132="",0,IF(ISNUMBER(SEARCH("T7",coding!$J132)),1,0))</f>
        <v>0</v>
      </c>
      <c r="U132" s="1" t="n">
        <f aca="false">IF(coding!$J132="",0,IF(ISNUMBER(SEARCH("T8",coding!$J132)),1,0))</f>
        <v>0</v>
      </c>
      <c r="V132" s="1" t="n">
        <f aca="false">IF(coding!$J132="",0,IF(ISNUMBER(SEARCH("T9",coding!$J132)),1,0))</f>
        <v>0</v>
      </c>
      <c r="W132" s="1" t="n">
        <f aca="false">IF(coding!$O132="",0,IF(ISNUMBER(SEARCH("T1",coding!$O132)),1,0))</f>
        <v>1</v>
      </c>
      <c r="X132" s="1" t="n">
        <f aca="false">IF(coding!$O132="",0,IF(ISNUMBER(SEARCH("T2",coding!$O132)),1,0))</f>
        <v>1</v>
      </c>
      <c r="Y132" s="1" t="n">
        <f aca="false">IF(coding!$O132="",0,IF(ISNUMBER(SEARCH("T3",coding!$O132)),1,0))</f>
        <v>0</v>
      </c>
      <c r="Z132" s="1" t="n">
        <f aca="false">IF(coding!$O132="",0,IF(ISNUMBER(SEARCH("T4",coding!$O132)),1,0))</f>
        <v>0</v>
      </c>
      <c r="AA132" s="1" t="n">
        <f aca="false">IF(coding!$O132="",0,IF(ISNUMBER(SEARCH("T5",coding!$O132)),1,0))</f>
        <v>0</v>
      </c>
      <c r="AB132" s="1" t="n">
        <f aca="false">IF(coding!$O132="",0,IF(ISNUMBER(SEARCH("T6",coding!$O132)),1,0))</f>
        <v>0</v>
      </c>
      <c r="AC132" s="1" t="n">
        <f aca="false">IF(coding!$O132="",0,IF(ISNUMBER(SEARCH("T7",coding!$O132)),1,0))</f>
        <v>0</v>
      </c>
      <c r="AD132" s="1" t="n">
        <f aca="false">IF(coding!$O132="",0,IF(ISNUMBER(SEARCH("T8",coding!$O132)),1,0))</f>
        <v>0</v>
      </c>
      <c r="AE132" s="1" t="n">
        <f aca="false">IF(coding!$O132="",0,IF(ISNUMBER(SEARCH("T9",coding!$O132)),1,0))</f>
        <v>0</v>
      </c>
      <c r="AF132" s="1" t="n">
        <f aca="false">SUMPRODUCT($E132:$M132,$N132:$V132)</f>
        <v>0</v>
      </c>
      <c r="AG132" s="1" t="n">
        <f aca="false">SUMPRODUCT(--(($E132:$M132+$N132:$V132)&gt;0))</f>
        <v>0</v>
      </c>
      <c r="AH132" s="1" t="str">
        <f aca="false">IF(AND($B132=1,$C132=1),IF($AG132=0,1,$AF132/$AG132),"")</f>
        <v/>
      </c>
      <c r="AI132" s="1" t="str">
        <f aca="false">IF(AND($B132=1,$C132=1),IF(coding!$I132=coding!$J132,1,0),"")</f>
        <v/>
      </c>
      <c r="AJ132" s="1" t="str">
        <f aca="false">IF($B132=1,IF(SUMPRODUCT(--(($E132:$M132+$W132:$AE132)&gt;0))=0,1,SUMPRODUCT($E132:$M132,$W132:$AE132)/SUMPRODUCT(--(($E132:$M132+$W132:$AE132)&gt;0))),"")</f>
        <v/>
      </c>
      <c r="AK132" s="1" t="str">
        <f aca="false">IF($C132=1,IF(SUMPRODUCT(--(($N132:$V132+$W132:$AE132)&gt;0))=0,1,SUMPRODUCT($N132:$V132,$W132:$AE132)/SUMPRODUCT(--(($N132:$V132+$W132:$AE132)&gt;0))),"")</f>
        <v/>
      </c>
    </row>
    <row r="133" customFormat="false" ht="15" hidden="false" customHeight="true" outlineLevel="0" collapsed="false">
      <c r="A133" s="1" t="str">
        <f aca="false">coding!$A133</f>
        <v>P132</v>
      </c>
      <c r="B133" s="1" t="n">
        <f aca="false">IF(coding!$I133="",0,1)</f>
        <v>0</v>
      </c>
      <c r="C133" s="1" t="n">
        <f aca="false">IF(coding!$J133="",0,1)</f>
        <v>0</v>
      </c>
      <c r="D133" s="1" t="n">
        <f aca="false">IF(coding!$O133="",0,1)</f>
        <v>1</v>
      </c>
      <c r="E133" s="1" t="n">
        <f aca="false">IF(coding!$I133="",0,IF(ISNUMBER(SEARCH("T1",coding!$I133)),1,0))</f>
        <v>0</v>
      </c>
      <c r="F133" s="1" t="n">
        <f aca="false">IF(coding!$I133="",0,IF(ISNUMBER(SEARCH("T2",coding!$I133)),1,0))</f>
        <v>0</v>
      </c>
      <c r="G133" s="1" t="n">
        <f aca="false">IF(coding!$I133="",0,IF(ISNUMBER(SEARCH("T3",coding!$I133)),1,0))</f>
        <v>0</v>
      </c>
      <c r="H133" s="1" t="n">
        <f aca="false">IF(coding!$I133="",0,IF(ISNUMBER(SEARCH("T4",coding!$I133)),1,0))</f>
        <v>0</v>
      </c>
      <c r="I133" s="1" t="n">
        <f aca="false">IF(coding!$I133="",0,IF(ISNUMBER(SEARCH("T5",coding!$I133)),1,0))</f>
        <v>0</v>
      </c>
      <c r="J133" s="1" t="n">
        <f aca="false">IF(coding!$I133="",0,IF(ISNUMBER(SEARCH("T6",coding!$I133)),1,0))</f>
        <v>0</v>
      </c>
      <c r="K133" s="1" t="n">
        <f aca="false">IF(coding!$I133="",0,IF(ISNUMBER(SEARCH("T7",coding!$I133)),1,0))</f>
        <v>0</v>
      </c>
      <c r="L133" s="1" t="n">
        <f aca="false">IF(coding!$I133="",0,IF(ISNUMBER(SEARCH("T8",coding!$I133)),1,0))</f>
        <v>0</v>
      </c>
      <c r="M133" s="1" t="n">
        <f aca="false">IF(coding!$I133="",0,IF(ISNUMBER(SEARCH("T9",coding!$I133)),1,0))</f>
        <v>0</v>
      </c>
      <c r="N133" s="1" t="n">
        <f aca="false">IF(coding!$J133="",0,IF(ISNUMBER(SEARCH("T1",coding!$J133)),1,0))</f>
        <v>0</v>
      </c>
      <c r="O133" s="1" t="n">
        <f aca="false">IF(coding!$J133="",0,IF(ISNUMBER(SEARCH("T2",coding!$J133)),1,0))</f>
        <v>0</v>
      </c>
      <c r="P133" s="1" t="n">
        <f aca="false">IF(coding!$J133="",0,IF(ISNUMBER(SEARCH("T3",coding!$J133)),1,0))</f>
        <v>0</v>
      </c>
      <c r="Q133" s="1" t="n">
        <f aca="false">IF(coding!$J133="",0,IF(ISNUMBER(SEARCH("T4",coding!$J133)),1,0))</f>
        <v>0</v>
      </c>
      <c r="R133" s="1" t="n">
        <f aca="false">IF(coding!$J133="",0,IF(ISNUMBER(SEARCH("T5",coding!$J133)),1,0))</f>
        <v>0</v>
      </c>
      <c r="S133" s="1" t="n">
        <f aca="false">IF(coding!$J133="",0,IF(ISNUMBER(SEARCH("T6",coding!$J133)),1,0))</f>
        <v>0</v>
      </c>
      <c r="T133" s="1" t="n">
        <f aca="false">IF(coding!$J133="",0,IF(ISNUMBER(SEARCH("T7",coding!$J133)),1,0))</f>
        <v>0</v>
      </c>
      <c r="U133" s="1" t="n">
        <f aca="false">IF(coding!$J133="",0,IF(ISNUMBER(SEARCH("T8",coding!$J133)),1,0))</f>
        <v>0</v>
      </c>
      <c r="V133" s="1" t="n">
        <f aca="false">IF(coding!$J133="",0,IF(ISNUMBER(SEARCH("T9",coding!$J133)),1,0))</f>
        <v>0</v>
      </c>
      <c r="W133" s="1" t="n">
        <f aca="false">IF(coding!$O133="",0,IF(ISNUMBER(SEARCH("T1",coding!$O133)),1,0))</f>
        <v>1</v>
      </c>
      <c r="X133" s="1" t="n">
        <f aca="false">IF(coding!$O133="",0,IF(ISNUMBER(SEARCH("T2",coding!$O133)),1,0))</f>
        <v>1</v>
      </c>
      <c r="Y133" s="1" t="n">
        <f aca="false">IF(coding!$O133="",0,IF(ISNUMBER(SEARCH("T3",coding!$O133)),1,0))</f>
        <v>0</v>
      </c>
      <c r="Z133" s="1" t="n">
        <f aca="false">IF(coding!$O133="",0,IF(ISNUMBER(SEARCH("T4",coding!$O133)),1,0))</f>
        <v>1</v>
      </c>
      <c r="AA133" s="1" t="n">
        <f aca="false">IF(coding!$O133="",0,IF(ISNUMBER(SEARCH("T5",coding!$O133)),1,0))</f>
        <v>0</v>
      </c>
      <c r="AB133" s="1" t="n">
        <f aca="false">IF(coding!$O133="",0,IF(ISNUMBER(SEARCH("T6",coding!$O133)),1,0))</f>
        <v>1</v>
      </c>
      <c r="AC133" s="1" t="n">
        <f aca="false">IF(coding!$O133="",0,IF(ISNUMBER(SEARCH("T7",coding!$O133)),1,0))</f>
        <v>0</v>
      </c>
      <c r="AD133" s="1" t="n">
        <f aca="false">IF(coding!$O133="",0,IF(ISNUMBER(SEARCH("T8",coding!$O133)),1,0))</f>
        <v>0</v>
      </c>
      <c r="AE133" s="1" t="n">
        <f aca="false">IF(coding!$O133="",0,IF(ISNUMBER(SEARCH("T9",coding!$O133)),1,0))</f>
        <v>0</v>
      </c>
      <c r="AF133" s="1" t="n">
        <f aca="false">SUMPRODUCT($E133:$M133,$N133:$V133)</f>
        <v>0</v>
      </c>
      <c r="AG133" s="1" t="n">
        <f aca="false">SUMPRODUCT(--(($E133:$M133+$N133:$V133)&gt;0))</f>
        <v>0</v>
      </c>
      <c r="AH133" s="1" t="str">
        <f aca="false">IF(AND($B133=1,$C133=1),IF($AG133=0,1,$AF133/$AG133),"")</f>
        <v/>
      </c>
      <c r="AI133" s="1" t="str">
        <f aca="false">IF(AND($B133=1,$C133=1),IF(coding!$I133=coding!$J133,1,0),"")</f>
        <v/>
      </c>
      <c r="AJ133" s="1" t="str">
        <f aca="false">IF($B133=1,IF(SUMPRODUCT(--(($E133:$M133+$W133:$AE133)&gt;0))=0,1,SUMPRODUCT($E133:$M133,$W133:$AE133)/SUMPRODUCT(--(($E133:$M133+$W133:$AE133)&gt;0))),"")</f>
        <v/>
      </c>
      <c r="AK133" s="1" t="str">
        <f aca="false">IF($C133=1,IF(SUMPRODUCT(--(($N133:$V133+$W133:$AE133)&gt;0))=0,1,SUMPRODUCT($N133:$V133,$W133:$AE133)/SUMPRODUCT(--(($N133:$V133+$W133:$AE133)&gt;0))),"")</f>
        <v/>
      </c>
    </row>
    <row r="134" customFormat="false" ht="15" hidden="false" customHeight="true" outlineLevel="0" collapsed="false">
      <c r="A134" s="1" t="str">
        <f aca="false">coding!$A134</f>
        <v>P133</v>
      </c>
      <c r="B134" s="1" t="n">
        <f aca="false">IF(coding!$I134="",0,1)</f>
        <v>0</v>
      </c>
      <c r="C134" s="1" t="n">
        <f aca="false">IF(coding!$J134="",0,1)</f>
        <v>0</v>
      </c>
      <c r="D134" s="1" t="n">
        <f aca="false">IF(coding!$O134="",0,1)</f>
        <v>1</v>
      </c>
      <c r="E134" s="1" t="n">
        <f aca="false">IF(coding!$I134="",0,IF(ISNUMBER(SEARCH("T1",coding!$I134)),1,0))</f>
        <v>0</v>
      </c>
      <c r="F134" s="1" t="n">
        <f aca="false">IF(coding!$I134="",0,IF(ISNUMBER(SEARCH("T2",coding!$I134)),1,0))</f>
        <v>0</v>
      </c>
      <c r="G134" s="1" t="n">
        <f aca="false">IF(coding!$I134="",0,IF(ISNUMBER(SEARCH("T3",coding!$I134)),1,0))</f>
        <v>0</v>
      </c>
      <c r="H134" s="1" t="n">
        <f aca="false">IF(coding!$I134="",0,IF(ISNUMBER(SEARCH("T4",coding!$I134)),1,0))</f>
        <v>0</v>
      </c>
      <c r="I134" s="1" t="n">
        <f aca="false">IF(coding!$I134="",0,IF(ISNUMBER(SEARCH("T5",coding!$I134)),1,0))</f>
        <v>0</v>
      </c>
      <c r="J134" s="1" t="n">
        <f aca="false">IF(coding!$I134="",0,IF(ISNUMBER(SEARCH("T6",coding!$I134)),1,0))</f>
        <v>0</v>
      </c>
      <c r="K134" s="1" t="n">
        <f aca="false">IF(coding!$I134="",0,IF(ISNUMBER(SEARCH("T7",coding!$I134)),1,0))</f>
        <v>0</v>
      </c>
      <c r="L134" s="1" t="n">
        <f aca="false">IF(coding!$I134="",0,IF(ISNUMBER(SEARCH("T8",coding!$I134)),1,0))</f>
        <v>0</v>
      </c>
      <c r="M134" s="1" t="n">
        <f aca="false">IF(coding!$I134="",0,IF(ISNUMBER(SEARCH("T9",coding!$I134)),1,0))</f>
        <v>0</v>
      </c>
      <c r="N134" s="1" t="n">
        <f aca="false">IF(coding!$J134="",0,IF(ISNUMBER(SEARCH("T1",coding!$J134)),1,0))</f>
        <v>0</v>
      </c>
      <c r="O134" s="1" t="n">
        <f aca="false">IF(coding!$J134="",0,IF(ISNUMBER(SEARCH("T2",coding!$J134)),1,0))</f>
        <v>0</v>
      </c>
      <c r="P134" s="1" t="n">
        <f aca="false">IF(coding!$J134="",0,IF(ISNUMBER(SEARCH("T3",coding!$J134)),1,0))</f>
        <v>0</v>
      </c>
      <c r="Q134" s="1" t="n">
        <f aca="false">IF(coding!$J134="",0,IF(ISNUMBER(SEARCH("T4",coding!$J134)),1,0))</f>
        <v>0</v>
      </c>
      <c r="R134" s="1" t="n">
        <f aca="false">IF(coding!$J134="",0,IF(ISNUMBER(SEARCH("T5",coding!$J134)),1,0))</f>
        <v>0</v>
      </c>
      <c r="S134" s="1" t="n">
        <f aca="false">IF(coding!$J134="",0,IF(ISNUMBER(SEARCH("T6",coding!$J134)),1,0))</f>
        <v>0</v>
      </c>
      <c r="T134" s="1" t="n">
        <f aca="false">IF(coding!$J134="",0,IF(ISNUMBER(SEARCH("T7",coding!$J134)),1,0))</f>
        <v>0</v>
      </c>
      <c r="U134" s="1" t="n">
        <f aca="false">IF(coding!$J134="",0,IF(ISNUMBER(SEARCH("T8",coding!$J134)),1,0))</f>
        <v>0</v>
      </c>
      <c r="V134" s="1" t="n">
        <f aca="false">IF(coding!$J134="",0,IF(ISNUMBER(SEARCH("T9",coding!$J134)),1,0))</f>
        <v>0</v>
      </c>
      <c r="W134" s="1" t="n">
        <f aca="false">IF(coding!$O134="",0,IF(ISNUMBER(SEARCH("T1",coding!$O134)),1,0))</f>
        <v>1</v>
      </c>
      <c r="X134" s="1" t="n">
        <f aca="false">IF(coding!$O134="",0,IF(ISNUMBER(SEARCH("T2",coding!$O134)),1,0))</f>
        <v>0</v>
      </c>
      <c r="Y134" s="1" t="n">
        <f aca="false">IF(coding!$O134="",0,IF(ISNUMBER(SEARCH("T3",coding!$O134)),1,0))</f>
        <v>0</v>
      </c>
      <c r="Z134" s="1" t="n">
        <f aca="false">IF(coding!$O134="",0,IF(ISNUMBER(SEARCH("T4",coding!$O134)),1,0))</f>
        <v>0</v>
      </c>
      <c r="AA134" s="1" t="n">
        <f aca="false">IF(coding!$O134="",0,IF(ISNUMBER(SEARCH("T5",coding!$O134)),1,0))</f>
        <v>0</v>
      </c>
      <c r="AB134" s="1" t="n">
        <f aca="false">IF(coding!$O134="",0,IF(ISNUMBER(SEARCH("T6",coding!$O134)),1,0))</f>
        <v>1</v>
      </c>
      <c r="AC134" s="1" t="n">
        <f aca="false">IF(coding!$O134="",0,IF(ISNUMBER(SEARCH("T7",coding!$O134)),1,0))</f>
        <v>0</v>
      </c>
      <c r="AD134" s="1" t="n">
        <f aca="false">IF(coding!$O134="",0,IF(ISNUMBER(SEARCH("T8",coding!$O134)),1,0))</f>
        <v>0</v>
      </c>
      <c r="AE134" s="1" t="n">
        <f aca="false">IF(coding!$O134="",0,IF(ISNUMBER(SEARCH("T9",coding!$O134)),1,0))</f>
        <v>0</v>
      </c>
      <c r="AF134" s="1" t="n">
        <f aca="false">SUMPRODUCT($E134:$M134,$N134:$V134)</f>
        <v>0</v>
      </c>
      <c r="AG134" s="1" t="n">
        <f aca="false">SUMPRODUCT(--(($E134:$M134+$N134:$V134)&gt;0))</f>
        <v>0</v>
      </c>
      <c r="AH134" s="1" t="str">
        <f aca="false">IF(AND($B134=1,$C134=1),IF($AG134=0,1,$AF134/$AG134),"")</f>
        <v/>
      </c>
      <c r="AI134" s="1" t="str">
        <f aca="false">IF(AND($B134=1,$C134=1),IF(coding!$I134=coding!$J134,1,0),"")</f>
        <v/>
      </c>
      <c r="AJ134" s="1" t="str">
        <f aca="false">IF($B134=1,IF(SUMPRODUCT(--(($E134:$M134+$W134:$AE134)&gt;0))=0,1,SUMPRODUCT($E134:$M134,$W134:$AE134)/SUMPRODUCT(--(($E134:$M134+$W134:$AE134)&gt;0))),"")</f>
        <v/>
      </c>
      <c r="AK134" s="1" t="str">
        <f aca="false">IF($C134=1,IF(SUMPRODUCT(--(($N134:$V134+$W134:$AE134)&gt;0))=0,1,SUMPRODUCT($N134:$V134,$W134:$AE134)/SUMPRODUCT(--(($N134:$V134+$W134:$AE134)&gt;0))),"")</f>
        <v/>
      </c>
    </row>
    <row r="135" customFormat="false" ht="15" hidden="false" customHeight="true" outlineLevel="0" collapsed="false">
      <c r="A135" s="1" t="str">
        <f aca="false">coding!$A135</f>
        <v>P134</v>
      </c>
      <c r="B135" s="1" t="n">
        <f aca="false">IF(coding!$I135="",0,1)</f>
        <v>0</v>
      </c>
      <c r="C135" s="1" t="n">
        <f aca="false">IF(coding!$J135="",0,1)</f>
        <v>0</v>
      </c>
      <c r="D135" s="1" t="n">
        <f aca="false">IF(coding!$O135="",0,1)</f>
        <v>1</v>
      </c>
      <c r="E135" s="1" t="n">
        <f aca="false">IF(coding!$I135="",0,IF(ISNUMBER(SEARCH("T1",coding!$I135)),1,0))</f>
        <v>0</v>
      </c>
      <c r="F135" s="1" t="n">
        <f aca="false">IF(coding!$I135="",0,IF(ISNUMBER(SEARCH("T2",coding!$I135)),1,0))</f>
        <v>0</v>
      </c>
      <c r="G135" s="1" t="n">
        <f aca="false">IF(coding!$I135="",0,IF(ISNUMBER(SEARCH("T3",coding!$I135)),1,0))</f>
        <v>0</v>
      </c>
      <c r="H135" s="1" t="n">
        <f aca="false">IF(coding!$I135="",0,IF(ISNUMBER(SEARCH("T4",coding!$I135)),1,0))</f>
        <v>0</v>
      </c>
      <c r="I135" s="1" t="n">
        <f aca="false">IF(coding!$I135="",0,IF(ISNUMBER(SEARCH("T5",coding!$I135)),1,0))</f>
        <v>0</v>
      </c>
      <c r="J135" s="1" t="n">
        <f aca="false">IF(coding!$I135="",0,IF(ISNUMBER(SEARCH("T6",coding!$I135)),1,0))</f>
        <v>0</v>
      </c>
      <c r="K135" s="1" t="n">
        <f aca="false">IF(coding!$I135="",0,IF(ISNUMBER(SEARCH("T7",coding!$I135)),1,0))</f>
        <v>0</v>
      </c>
      <c r="L135" s="1" t="n">
        <f aca="false">IF(coding!$I135="",0,IF(ISNUMBER(SEARCH("T8",coding!$I135)),1,0))</f>
        <v>0</v>
      </c>
      <c r="M135" s="1" t="n">
        <f aca="false">IF(coding!$I135="",0,IF(ISNUMBER(SEARCH("T9",coding!$I135)),1,0))</f>
        <v>0</v>
      </c>
      <c r="N135" s="1" t="n">
        <f aca="false">IF(coding!$J135="",0,IF(ISNUMBER(SEARCH("T1",coding!$J135)),1,0))</f>
        <v>0</v>
      </c>
      <c r="O135" s="1" t="n">
        <f aca="false">IF(coding!$J135="",0,IF(ISNUMBER(SEARCH("T2",coding!$J135)),1,0))</f>
        <v>0</v>
      </c>
      <c r="P135" s="1" t="n">
        <f aca="false">IF(coding!$J135="",0,IF(ISNUMBER(SEARCH("T3",coding!$J135)),1,0))</f>
        <v>0</v>
      </c>
      <c r="Q135" s="1" t="n">
        <f aca="false">IF(coding!$J135="",0,IF(ISNUMBER(SEARCH("T4",coding!$J135)),1,0))</f>
        <v>0</v>
      </c>
      <c r="R135" s="1" t="n">
        <f aca="false">IF(coding!$J135="",0,IF(ISNUMBER(SEARCH("T5",coding!$J135)),1,0))</f>
        <v>0</v>
      </c>
      <c r="S135" s="1" t="n">
        <f aca="false">IF(coding!$J135="",0,IF(ISNUMBER(SEARCH("T6",coding!$J135)),1,0))</f>
        <v>0</v>
      </c>
      <c r="T135" s="1" t="n">
        <f aca="false">IF(coding!$J135="",0,IF(ISNUMBER(SEARCH("T7",coding!$J135)),1,0))</f>
        <v>0</v>
      </c>
      <c r="U135" s="1" t="n">
        <f aca="false">IF(coding!$J135="",0,IF(ISNUMBER(SEARCH("T8",coding!$J135)),1,0))</f>
        <v>0</v>
      </c>
      <c r="V135" s="1" t="n">
        <f aca="false">IF(coding!$J135="",0,IF(ISNUMBER(SEARCH("T9",coding!$J135)),1,0))</f>
        <v>0</v>
      </c>
      <c r="W135" s="1" t="n">
        <f aca="false">IF(coding!$O135="",0,IF(ISNUMBER(SEARCH("T1",coding!$O135)),1,0))</f>
        <v>1</v>
      </c>
      <c r="X135" s="1" t="n">
        <f aca="false">IF(coding!$O135="",0,IF(ISNUMBER(SEARCH("T2",coding!$O135)),1,0))</f>
        <v>0</v>
      </c>
      <c r="Y135" s="1" t="n">
        <f aca="false">IF(coding!$O135="",0,IF(ISNUMBER(SEARCH("T3",coding!$O135)),1,0))</f>
        <v>0</v>
      </c>
      <c r="Z135" s="1" t="n">
        <f aca="false">IF(coding!$O135="",0,IF(ISNUMBER(SEARCH("T4",coding!$O135)),1,0))</f>
        <v>0</v>
      </c>
      <c r="AA135" s="1" t="n">
        <f aca="false">IF(coding!$O135="",0,IF(ISNUMBER(SEARCH("T5",coding!$O135)),1,0))</f>
        <v>0</v>
      </c>
      <c r="AB135" s="1" t="n">
        <f aca="false">IF(coding!$O135="",0,IF(ISNUMBER(SEARCH("T6",coding!$O135)),1,0))</f>
        <v>0</v>
      </c>
      <c r="AC135" s="1" t="n">
        <f aca="false">IF(coding!$O135="",0,IF(ISNUMBER(SEARCH("T7",coding!$O135)),1,0))</f>
        <v>0</v>
      </c>
      <c r="AD135" s="1" t="n">
        <f aca="false">IF(coding!$O135="",0,IF(ISNUMBER(SEARCH("T8",coding!$O135)),1,0))</f>
        <v>0</v>
      </c>
      <c r="AE135" s="1" t="n">
        <f aca="false">IF(coding!$O135="",0,IF(ISNUMBER(SEARCH("T9",coding!$O135)),1,0))</f>
        <v>0</v>
      </c>
      <c r="AF135" s="1" t="n">
        <f aca="false">SUMPRODUCT($E135:$M135,$N135:$V135)</f>
        <v>0</v>
      </c>
      <c r="AG135" s="1" t="n">
        <f aca="false">SUMPRODUCT(--(($E135:$M135+$N135:$V135)&gt;0))</f>
        <v>0</v>
      </c>
      <c r="AH135" s="1" t="str">
        <f aca="false">IF(AND($B135=1,$C135=1),IF($AG135=0,1,$AF135/$AG135),"")</f>
        <v/>
      </c>
      <c r="AI135" s="1" t="str">
        <f aca="false">IF(AND($B135=1,$C135=1),IF(coding!$I135=coding!$J135,1,0),"")</f>
        <v/>
      </c>
      <c r="AJ135" s="1" t="str">
        <f aca="false">IF($B135=1,IF(SUMPRODUCT(--(($E135:$M135+$W135:$AE135)&gt;0))=0,1,SUMPRODUCT($E135:$M135,$W135:$AE135)/SUMPRODUCT(--(($E135:$M135+$W135:$AE135)&gt;0))),"")</f>
        <v/>
      </c>
      <c r="AK135" s="1" t="str">
        <f aca="false">IF($C135=1,IF(SUMPRODUCT(--(($N135:$V135+$W135:$AE135)&gt;0))=0,1,SUMPRODUCT($N135:$V135,$W135:$AE135)/SUMPRODUCT(--(($N135:$V135+$W135:$AE135)&gt;0))),"")</f>
        <v/>
      </c>
    </row>
    <row r="136" customFormat="false" ht="15" hidden="false" customHeight="true" outlineLevel="0" collapsed="false">
      <c r="A136" s="1" t="str">
        <f aca="false">coding!$A136</f>
        <v>P135</v>
      </c>
      <c r="B136" s="1" t="n">
        <f aca="false">IF(coding!$I136="",0,1)</f>
        <v>0</v>
      </c>
      <c r="C136" s="1" t="n">
        <f aca="false">IF(coding!$J136="",0,1)</f>
        <v>0</v>
      </c>
      <c r="D136" s="1" t="n">
        <f aca="false">IF(coding!$O136="",0,1)</f>
        <v>1</v>
      </c>
      <c r="E136" s="1" t="n">
        <f aca="false">IF(coding!$I136="",0,IF(ISNUMBER(SEARCH("T1",coding!$I136)),1,0))</f>
        <v>0</v>
      </c>
      <c r="F136" s="1" t="n">
        <f aca="false">IF(coding!$I136="",0,IF(ISNUMBER(SEARCH("T2",coding!$I136)),1,0))</f>
        <v>0</v>
      </c>
      <c r="G136" s="1" t="n">
        <f aca="false">IF(coding!$I136="",0,IF(ISNUMBER(SEARCH("T3",coding!$I136)),1,0))</f>
        <v>0</v>
      </c>
      <c r="H136" s="1" t="n">
        <f aca="false">IF(coding!$I136="",0,IF(ISNUMBER(SEARCH("T4",coding!$I136)),1,0))</f>
        <v>0</v>
      </c>
      <c r="I136" s="1" t="n">
        <f aca="false">IF(coding!$I136="",0,IF(ISNUMBER(SEARCH("T5",coding!$I136)),1,0))</f>
        <v>0</v>
      </c>
      <c r="J136" s="1" t="n">
        <f aca="false">IF(coding!$I136="",0,IF(ISNUMBER(SEARCH("T6",coding!$I136)),1,0))</f>
        <v>0</v>
      </c>
      <c r="K136" s="1" t="n">
        <f aca="false">IF(coding!$I136="",0,IF(ISNUMBER(SEARCH("T7",coding!$I136)),1,0))</f>
        <v>0</v>
      </c>
      <c r="L136" s="1" t="n">
        <f aca="false">IF(coding!$I136="",0,IF(ISNUMBER(SEARCH("T8",coding!$I136)),1,0))</f>
        <v>0</v>
      </c>
      <c r="M136" s="1" t="n">
        <f aca="false">IF(coding!$I136="",0,IF(ISNUMBER(SEARCH("T9",coding!$I136)),1,0))</f>
        <v>0</v>
      </c>
      <c r="N136" s="1" t="n">
        <f aca="false">IF(coding!$J136="",0,IF(ISNUMBER(SEARCH("T1",coding!$J136)),1,0))</f>
        <v>0</v>
      </c>
      <c r="O136" s="1" t="n">
        <f aca="false">IF(coding!$J136="",0,IF(ISNUMBER(SEARCH("T2",coding!$J136)),1,0))</f>
        <v>0</v>
      </c>
      <c r="P136" s="1" t="n">
        <f aca="false">IF(coding!$J136="",0,IF(ISNUMBER(SEARCH("T3",coding!$J136)),1,0))</f>
        <v>0</v>
      </c>
      <c r="Q136" s="1" t="n">
        <f aca="false">IF(coding!$J136="",0,IF(ISNUMBER(SEARCH("T4",coding!$J136)),1,0))</f>
        <v>0</v>
      </c>
      <c r="R136" s="1" t="n">
        <f aca="false">IF(coding!$J136="",0,IF(ISNUMBER(SEARCH("T5",coding!$J136)),1,0))</f>
        <v>0</v>
      </c>
      <c r="S136" s="1" t="n">
        <f aca="false">IF(coding!$J136="",0,IF(ISNUMBER(SEARCH("T6",coding!$J136)),1,0))</f>
        <v>0</v>
      </c>
      <c r="T136" s="1" t="n">
        <f aca="false">IF(coding!$J136="",0,IF(ISNUMBER(SEARCH("T7",coding!$J136)),1,0))</f>
        <v>0</v>
      </c>
      <c r="U136" s="1" t="n">
        <f aca="false">IF(coding!$J136="",0,IF(ISNUMBER(SEARCH("T8",coding!$J136)),1,0))</f>
        <v>0</v>
      </c>
      <c r="V136" s="1" t="n">
        <f aca="false">IF(coding!$J136="",0,IF(ISNUMBER(SEARCH("T9",coding!$J136)),1,0))</f>
        <v>0</v>
      </c>
      <c r="W136" s="1" t="n">
        <f aca="false">IF(coding!$O136="",0,IF(ISNUMBER(SEARCH("T1",coding!$O136)),1,0))</f>
        <v>0</v>
      </c>
      <c r="X136" s="1" t="n">
        <f aca="false">IF(coding!$O136="",0,IF(ISNUMBER(SEARCH("T2",coding!$O136)),1,0))</f>
        <v>1</v>
      </c>
      <c r="Y136" s="1" t="n">
        <f aca="false">IF(coding!$O136="",0,IF(ISNUMBER(SEARCH("T3",coding!$O136)),1,0))</f>
        <v>0</v>
      </c>
      <c r="Z136" s="1" t="n">
        <f aca="false">IF(coding!$O136="",0,IF(ISNUMBER(SEARCH("T4",coding!$O136)),1,0))</f>
        <v>0</v>
      </c>
      <c r="AA136" s="1" t="n">
        <f aca="false">IF(coding!$O136="",0,IF(ISNUMBER(SEARCH("T5",coding!$O136)),1,0))</f>
        <v>1</v>
      </c>
      <c r="AB136" s="1" t="n">
        <f aca="false">IF(coding!$O136="",0,IF(ISNUMBER(SEARCH("T6",coding!$O136)),1,0))</f>
        <v>0</v>
      </c>
      <c r="AC136" s="1" t="n">
        <f aca="false">IF(coding!$O136="",0,IF(ISNUMBER(SEARCH("T7",coding!$O136)),1,0))</f>
        <v>0</v>
      </c>
      <c r="AD136" s="1" t="n">
        <f aca="false">IF(coding!$O136="",0,IF(ISNUMBER(SEARCH("T8",coding!$O136)),1,0))</f>
        <v>0</v>
      </c>
      <c r="AE136" s="1" t="n">
        <f aca="false">IF(coding!$O136="",0,IF(ISNUMBER(SEARCH("T9",coding!$O136)),1,0))</f>
        <v>0</v>
      </c>
      <c r="AF136" s="1" t="n">
        <f aca="false">SUMPRODUCT($E136:$M136,$N136:$V136)</f>
        <v>0</v>
      </c>
      <c r="AG136" s="1" t="n">
        <f aca="false">SUMPRODUCT(--(($E136:$M136+$N136:$V136)&gt;0))</f>
        <v>0</v>
      </c>
      <c r="AH136" s="1" t="str">
        <f aca="false">IF(AND($B136=1,$C136=1),IF($AG136=0,1,$AF136/$AG136),"")</f>
        <v/>
      </c>
      <c r="AI136" s="1" t="str">
        <f aca="false">IF(AND($B136=1,$C136=1),IF(coding!$I136=coding!$J136,1,0),"")</f>
        <v/>
      </c>
      <c r="AJ136" s="1" t="str">
        <f aca="false">IF($B136=1,IF(SUMPRODUCT(--(($E136:$M136+$W136:$AE136)&gt;0))=0,1,SUMPRODUCT($E136:$M136,$W136:$AE136)/SUMPRODUCT(--(($E136:$M136+$W136:$AE136)&gt;0))),"")</f>
        <v/>
      </c>
      <c r="AK136" s="1" t="str">
        <f aca="false">IF($C136=1,IF(SUMPRODUCT(--(($N136:$V136+$W136:$AE136)&gt;0))=0,1,SUMPRODUCT($N136:$V136,$W136:$AE136)/SUMPRODUCT(--(($N136:$V136+$W136:$AE136)&gt;0))),"")</f>
        <v/>
      </c>
    </row>
    <row r="137" customFormat="false" ht="15" hidden="false" customHeight="true" outlineLevel="0" collapsed="false">
      <c r="A137" s="1" t="str">
        <f aca="false">coding!$A137</f>
        <v>P136</v>
      </c>
      <c r="B137" s="1" t="n">
        <f aca="false">IF(coding!$I137="",0,1)</f>
        <v>0</v>
      </c>
      <c r="C137" s="1" t="n">
        <f aca="false">IF(coding!$J137="",0,1)</f>
        <v>0</v>
      </c>
      <c r="D137" s="1" t="n">
        <f aca="false">IF(coding!$O137="",0,1)</f>
        <v>1</v>
      </c>
      <c r="E137" s="1" t="n">
        <f aca="false">IF(coding!$I137="",0,IF(ISNUMBER(SEARCH("T1",coding!$I137)),1,0))</f>
        <v>0</v>
      </c>
      <c r="F137" s="1" t="n">
        <f aca="false">IF(coding!$I137="",0,IF(ISNUMBER(SEARCH("T2",coding!$I137)),1,0))</f>
        <v>0</v>
      </c>
      <c r="G137" s="1" t="n">
        <f aca="false">IF(coding!$I137="",0,IF(ISNUMBER(SEARCH("T3",coding!$I137)),1,0))</f>
        <v>0</v>
      </c>
      <c r="H137" s="1" t="n">
        <f aca="false">IF(coding!$I137="",0,IF(ISNUMBER(SEARCH("T4",coding!$I137)),1,0))</f>
        <v>0</v>
      </c>
      <c r="I137" s="1" t="n">
        <f aca="false">IF(coding!$I137="",0,IF(ISNUMBER(SEARCH("T5",coding!$I137)),1,0))</f>
        <v>0</v>
      </c>
      <c r="J137" s="1" t="n">
        <f aca="false">IF(coding!$I137="",0,IF(ISNUMBER(SEARCH("T6",coding!$I137)),1,0))</f>
        <v>0</v>
      </c>
      <c r="K137" s="1" t="n">
        <f aca="false">IF(coding!$I137="",0,IF(ISNUMBER(SEARCH("T7",coding!$I137)),1,0))</f>
        <v>0</v>
      </c>
      <c r="L137" s="1" t="n">
        <f aca="false">IF(coding!$I137="",0,IF(ISNUMBER(SEARCH("T8",coding!$I137)),1,0))</f>
        <v>0</v>
      </c>
      <c r="M137" s="1" t="n">
        <f aca="false">IF(coding!$I137="",0,IF(ISNUMBER(SEARCH("T9",coding!$I137)),1,0))</f>
        <v>0</v>
      </c>
      <c r="N137" s="1" t="n">
        <f aca="false">IF(coding!$J137="",0,IF(ISNUMBER(SEARCH("T1",coding!$J137)),1,0))</f>
        <v>0</v>
      </c>
      <c r="O137" s="1" t="n">
        <f aca="false">IF(coding!$J137="",0,IF(ISNUMBER(SEARCH("T2",coding!$J137)),1,0))</f>
        <v>0</v>
      </c>
      <c r="P137" s="1" t="n">
        <f aca="false">IF(coding!$J137="",0,IF(ISNUMBER(SEARCH("T3",coding!$J137)),1,0))</f>
        <v>0</v>
      </c>
      <c r="Q137" s="1" t="n">
        <f aca="false">IF(coding!$J137="",0,IF(ISNUMBER(SEARCH("T4",coding!$J137)),1,0))</f>
        <v>0</v>
      </c>
      <c r="R137" s="1" t="n">
        <f aca="false">IF(coding!$J137="",0,IF(ISNUMBER(SEARCH("T5",coding!$J137)),1,0))</f>
        <v>0</v>
      </c>
      <c r="S137" s="1" t="n">
        <f aca="false">IF(coding!$J137="",0,IF(ISNUMBER(SEARCH("T6",coding!$J137)),1,0))</f>
        <v>0</v>
      </c>
      <c r="T137" s="1" t="n">
        <f aca="false">IF(coding!$J137="",0,IF(ISNUMBER(SEARCH("T7",coding!$J137)),1,0))</f>
        <v>0</v>
      </c>
      <c r="U137" s="1" t="n">
        <f aca="false">IF(coding!$J137="",0,IF(ISNUMBER(SEARCH("T8",coding!$J137)),1,0))</f>
        <v>0</v>
      </c>
      <c r="V137" s="1" t="n">
        <f aca="false">IF(coding!$J137="",0,IF(ISNUMBER(SEARCH("T9",coding!$J137)),1,0))</f>
        <v>0</v>
      </c>
      <c r="W137" s="1" t="n">
        <f aca="false">IF(coding!$O137="",0,IF(ISNUMBER(SEARCH("T1",coding!$O137)),1,0))</f>
        <v>0</v>
      </c>
      <c r="X137" s="1" t="n">
        <f aca="false">IF(coding!$O137="",0,IF(ISNUMBER(SEARCH("T2",coding!$O137)),1,0))</f>
        <v>1</v>
      </c>
      <c r="Y137" s="1" t="n">
        <f aca="false">IF(coding!$O137="",0,IF(ISNUMBER(SEARCH("T3",coding!$O137)),1,0))</f>
        <v>0</v>
      </c>
      <c r="Z137" s="1" t="n">
        <f aca="false">IF(coding!$O137="",0,IF(ISNUMBER(SEARCH("T4",coding!$O137)),1,0))</f>
        <v>0</v>
      </c>
      <c r="AA137" s="1" t="n">
        <f aca="false">IF(coding!$O137="",0,IF(ISNUMBER(SEARCH("T5",coding!$O137)),1,0))</f>
        <v>0</v>
      </c>
      <c r="AB137" s="1" t="n">
        <f aca="false">IF(coding!$O137="",0,IF(ISNUMBER(SEARCH("T6",coding!$O137)),1,0))</f>
        <v>1</v>
      </c>
      <c r="AC137" s="1" t="n">
        <f aca="false">IF(coding!$O137="",0,IF(ISNUMBER(SEARCH("T7",coding!$O137)),1,0))</f>
        <v>0</v>
      </c>
      <c r="AD137" s="1" t="n">
        <f aca="false">IF(coding!$O137="",0,IF(ISNUMBER(SEARCH("T8",coding!$O137)),1,0))</f>
        <v>0</v>
      </c>
      <c r="AE137" s="1" t="n">
        <f aca="false">IF(coding!$O137="",0,IF(ISNUMBER(SEARCH("T9",coding!$O137)),1,0))</f>
        <v>0</v>
      </c>
      <c r="AF137" s="1" t="n">
        <f aca="false">SUMPRODUCT($E137:$M137,$N137:$V137)</f>
        <v>0</v>
      </c>
      <c r="AG137" s="1" t="n">
        <f aca="false">SUMPRODUCT(--(($E137:$M137+$N137:$V137)&gt;0))</f>
        <v>0</v>
      </c>
      <c r="AH137" s="1" t="str">
        <f aca="false">IF(AND($B137=1,$C137=1),IF($AG137=0,1,$AF137/$AG137),"")</f>
        <v/>
      </c>
      <c r="AI137" s="1" t="str">
        <f aca="false">IF(AND($B137=1,$C137=1),IF(coding!$I137=coding!$J137,1,0),"")</f>
        <v/>
      </c>
      <c r="AJ137" s="1" t="str">
        <f aca="false">IF($B137=1,IF(SUMPRODUCT(--(($E137:$M137+$W137:$AE137)&gt;0))=0,1,SUMPRODUCT($E137:$M137,$W137:$AE137)/SUMPRODUCT(--(($E137:$M137+$W137:$AE137)&gt;0))),"")</f>
        <v/>
      </c>
      <c r="AK137" s="1" t="str">
        <f aca="false">IF($C137=1,IF(SUMPRODUCT(--(($N137:$V137+$W137:$AE137)&gt;0))=0,1,SUMPRODUCT($N137:$V137,$W137:$AE137)/SUMPRODUCT(--(($N137:$V137+$W137:$AE137)&gt;0))),"")</f>
        <v/>
      </c>
    </row>
    <row r="138" customFormat="false" ht="15" hidden="false" customHeight="true" outlineLevel="0" collapsed="false">
      <c r="A138" s="1" t="str">
        <f aca="false">coding!$A138</f>
        <v>P137</v>
      </c>
      <c r="B138" s="1" t="n">
        <f aca="false">IF(coding!$I138="",0,1)</f>
        <v>0</v>
      </c>
      <c r="C138" s="1" t="n">
        <f aca="false">IF(coding!$J138="",0,1)</f>
        <v>0</v>
      </c>
      <c r="D138" s="1" t="n">
        <f aca="false">IF(coding!$O138="",0,1)</f>
        <v>1</v>
      </c>
      <c r="E138" s="1" t="n">
        <f aca="false">IF(coding!$I138="",0,IF(ISNUMBER(SEARCH("T1",coding!$I138)),1,0))</f>
        <v>0</v>
      </c>
      <c r="F138" s="1" t="n">
        <f aca="false">IF(coding!$I138="",0,IF(ISNUMBER(SEARCH("T2",coding!$I138)),1,0))</f>
        <v>0</v>
      </c>
      <c r="G138" s="1" t="n">
        <f aca="false">IF(coding!$I138="",0,IF(ISNUMBER(SEARCH("T3",coding!$I138)),1,0))</f>
        <v>0</v>
      </c>
      <c r="H138" s="1" t="n">
        <f aca="false">IF(coding!$I138="",0,IF(ISNUMBER(SEARCH("T4",coding!$I138)),1,0))</f>
        <v>0</v>
      </c>
      <c r="I138" s="1" t="n">
        <f aca="false">IF(coding!$I138="",0,IF(ISNUMBER(SEARCH("T5",coding!$I138)),1,0))</f>
        <v>0</v>
      </c>
      <c r="J138" s="1" t="n">
        <f aca="false">IF(coding!$I138="",0,IF(ISNUMBER(SEARCH("T6",coding!$I138)),1,0))</f>
        <v>0</v>
      </c>
      <c r="K138" s="1" t="n">
        <f aca="false">IF(coding!$I138="",0,IF(ISNUMBER(SEARCH("T7",coding!$I138)),1,0))</f>
        <v>0</v>
      </c>
      <c r="L138" s="1" t="n">
        <f aca="false">IF(coding!$I138="",0,IF(ISNUMBER(SEARCH("T8",coding!$I138)),1,0))</f>
        <v>0</v>
      </c>
      <c r="M138" s="1" t="n">
        <f aca="false">IF(coding!$I138="",0,IF(ISNUMBER(SEARCH("T9",coding!$I138)),1,0))</f>
        <v>0</v>
      </c>
      <c r="N138" s="1" t="n">
        <f aca="false">IF(coding!$J138="",0,IF(ISNUMBER(SEARCH("T1",coding!$J138)),1,0))</f>
        <v>0</v>
      </c>
      <c r="O138" s="1" t="n">
        <f aca="false">IF(coding!$J138="",0,IF(ISNUMBER(SEARCH("T2",coding!$J138)),1,0))</f>
        <v>0</v>
      </c>
      <c r="P138" s="1" t="n">
        <f aca="false">IF(coding!$J138="",0,IF(ISNUMBER(SEARCH("T3",coding!$J138)),1,0))</f>
        <v>0</v>
      </c>
      <c r="Q138" s="1" t="n">
        <f aca="false">IF(coding!$J138="",0,IF(ISNUMBER(SEARCH("T4",coding!$J138)),1,0))</f>
        <v>0</v>
      </c>
      <c r="R138" s="1" t="n">
        <f aca="false">IF(coding!$J138="",0,IF(ISNUMBER(SEARCH("T5",coding!$J138)),1,0))</f>
        <v>0</v>
      </c>
      <c r="S138" s="1" t="n">
        <f aca="false">IF(coding!$J138="",0,IF(ISNUMBER(SEARCH("T6",coding!$J138)),1,0))</f>
        <v>0</v>
      </c>
      <c r="T138" s="1" t="n">
        <f aca="false">IF(coding!$J138="",0,IF(ISNUMBER(SEARCH("T7",coding!$J138)),1,0))</f>
        <v>0</v>
      </c>
      <c r="U138" s="1" t="n">
        <f aca="false">IF(coding!$J138="",0,IF(ISNUMBER(SEARCH("T8",coding!$J138)),1,0))</f>
        <v>0</v>
      </c>
      <c r="V138" s="1" t="n">
        <f aca="false">IF(coding!$J138="",0,IF(ISNUMBER(SEARCH("T9",coding!$J138)),1,0))</f>
        <v>0</v>
      </c>
      <c r="W138" s="1" t="n">
        <f aca="false">IF(coding!$O138="",0,IF(ISNUMBER(SEARCH("T1",coding!$O138)),1,0))</f>
        <v>1</v>
      </c>
      <c r="X138" s="1" t="n">
        <f aca="false">IF(coding!$O138="",0,IF(ISNUMBER(SEARCH("T2",coding!$O138)),1,0))</f>
        <v>0</v>
      </c>
      <c r="Y138" s="1" t="n">
        <f aca="false">IF(coding!$O138="",0,IF(ISNUMBER(SEARCH("T3",coding!$O138)),1,0))</f>
        <v>0</v>
      </c>
      <c r="Z138" s="1" t="n">
        <f aca="false">IF(coding!$O138="",0,IF(ISNUMBER(SEARCH("T4",coding!$O138)),1,0))</f>
        <v>0</v>
      </c>
      <c r="AA138" s="1" t="n">
        <f aca="false">IF(coding!$O138="",0,IF(ISNUMBER(SEARCH("T5",coding!$O138)),1,0))</f>
        <v>0</v>
      </c>
      <c r="AB138" s="1" t="n">
        <f aca="false">IF(coding!$O138="",0,IF(ISNUMBER(SEARCH("T6",coding!$O138)),1,0))</f>
        <v>0</v>
      </c>
      <c r="AC138" s="1" t="n">
        <f aca="false">IF(coding!$O138="",0,IF(ISNUMBER(SEARCH("T7",coding!$O138)),1,0))</f>
        <v>0</v>
      </c>
      <c r="AD138" s="1" t="n">
        <f aca="false">IF(coding!$O138="",0,IF(ISNUMBER(SEARCH("T8",coding!$O138)),1,0))</f>
        <v>1</v>
      </c>
      <c r="AE138" s="1" t="n">
        <f aca="false">IF(coding!$O138="",0,IF(ISNUMBER(SEARCH("T9",coding!$O138)),1,0))</f>
        <v>0</v>
      </c>
      <c r="AF138" s="1" t="n">
        <f aca="false">SUMPRODUCT($E138:$M138,$N138:$V138)</f>
        <v>0</v>
      </c>
      <c r="AG138" s="1" t="n">
        <f aca="false">SUMPRODUCT(--(($E138:$M138+$N138:$V138)&gt;0))</f>
        <v>0</v>
      </c>
      <c r="AH138" s="1" t="str">
        <f aca="false">IF(AND($B138=1,$C138=1),IF($AG138=0,1,$AF138/$AG138),"")</f>
        <v/>
      </c>
      <c r="AI138" s="1" t="str">
        <f aca="false">IF(AND($B138=1,$C138=1),IF(coding!$I138=coding!$J138,1,0),"")</f>
        <v/>
      </c>
      <c r="AJ138" s="1" t="str">
        <f aca="false">IF($B138=1,IF(SUMPRODUCT(--(($E138:$M138+$W138:$AE138)&gt;0))=0,1,SUMPRODUCT($E138:$M138,$W138:$AE138)/SUMPRODUCT(--(($E138:$M138+$W138:$AE138)&gt;0))),"")</f>
        <v/>
      </c>
      <c r="AK138" s="1" t="str">
        <f aca="false">IF($C138=1,IF(SUMPRODUCT(--(($N138:$V138+$W138:$AE138)&gt;0))=0,1,SUMPRODUCT($N138:$V138,$W138:$AE138)/SUMPRODUCT(--(($N138:$V138+$W138:$AE138)&gt;0))),"")</f>
        <v/>
      </c>
    </row>
    <row r="139" customFormat="false" ht="15" hidden="false" customHeight="true" outlineLevel="0" collapsed="false">
      <c r="A139" s="1" t="str">
        <f aca="false">coding!$A139</f>
        <v>P138</v>
      </c>
      <c r="B139" s="1" t="n">
        <f aca="false">IF(coding!$I139="",0,1)</f>
        <v>0</v>
      </c>
      <c r="C139" s="1" t="n">
        <f aca="false">IF(coding!$J139="",0,1)</f>
        <v>0</v>
      </c>
      <c r="D139" s="1" t="n">
        <f aca="false">IF(coding!$O139="",0,1)</f>
        <v>1</v>
      </c>
      <c r="E139" s="1" t="n">
        <f aca="false">IF(coding!$I139="",0,IF(ISNUMBER(SEARCH("T1",coding!$I139)),1,0))</f>
        <v>0</v>
      </c>
      <c r="F139" s="1" t="n">
        <f aca="false">IF(coding!$I139="",0,IF(ISNUMBER(SEARCH("T2",coding!$I139)),1,0))</f>
        <v>0</v>
      </c>
      <c r="G139" s="1" t="n">
        <f aca="false">IF(coding!$I139="",0,IF(ISNUMBER(SEARCH("T3",coding!$I139)),1,0))</f>
        <v>0</v>
      </c>
      <c r="H139" s="1" t="n">
        <f aca="false">IF(coding!$I139="",0,IF(ISNUMBER(SEARCH("T4",coding!$I139)),1,0))</f>
        <v>0</v>
      </c>
      <c r="I139" s="1" t="n">
        <f aca="false">IF(coding!$I139="",0,IF(ISNUMBER(SEARCH("T5",coding!$I139)),1,0))</f>
        <v>0</v>
      </c>
      <c r="J139" s="1" t="n">
        <f aca="false">IF(coding!$I139="",0,IF(ISNUMBER(SEARCH("T6",coding!$I139)),1,0))</f>
        <v>0</v>
      </c>
      <c r="K139" s="1" t="n">
        <f aca="false">IF(coding!$I139="",0,IF(ISNUMBER(SEARCH("T7",coding!$I139)),1,0))</f>
        <v>0</v>
      </c>
      <c r="L139" s="1" t="n">
        <f aca="false">IF(coding!$I139="",0,IF(ISNUMBER(SEARCH("T8",coding!$I139)),1,0))</f>
        <v>0</v>
      </c>
      <c r="M139" s="1" t="n">
        <f aca="false">IF(coding!$I139="",0,IF(ISNUMBER(SEARCH("T9",coding!$I139)),1,0))</f>
        <v>0</v>
      </c>
      <c r="N139" s="1" t="n">
        <f aca="false">IF(coding!$J139="",0,IF(ISNUMBER(SEARCH("T1",coding!$J139)),1,0))</f>
        <v>0</v>
      </c>
      <c r="O139" s="1" t="n">
        <f aca="false">IF(coding!$J139="",0,IF(ISNUMBER(SEARCH("T2",coding!$J139)),1,0))</f>
        <v>0</v>
      </c>
      <c r="P139" s="1" t="n">
        <f aca="false">IF(coding!$J139="",0,IF(ISNUMBER(SEARCH("T3",coding!$J139)),1,0))</f>
        <v>0</v>
      </c>
      <c r="Q139" s="1" t="n">
        <f aca="false">IF(coding!$J139="",0,IF(ISNUMBER(SEARCH("T4",coding!$J139)),1,0))</f>
        <v>0</v>
      </c>
      <c r="R139" s="1" t="n">
        <f aca="false">IF(coding!$J139="",0,IF(ISNUMBER(SEARCH("T5",coding!$J139)),1,0))</f>
        <v>0</v>
      </c>
      <c r="S139" s="1" t="n">
        <f aca="false">IF(coding!$J139="",0,IF(ISNUMBER(SEARCH("T6",coding!$J139)),1,0))</f>
        <v>0</v>
      </c>
      <c r="T139" s="1" t="n">
        <f aca="false">IF(coding!$J139="",0,IF(ISNUMBER(SEARCH("T7",coding!$J139)),1,0))</f>
        <v>0</v>
      </c>
      <c r="U139" s="1" t="n">
        <f aca="false">IF(coding!$J139="",0,IF(ISNUMBER(SEARCH("T8",coding!$J139)),1,0))</f>
        <v>0</v>
      </c>
      <c r="V139" s="1" t="n">
        <f aca="false">IF(coding!$J139="",0,IF(ISNUMBER(SEARCH("T9",coding!$J139)),1,0))</f>
        <v>0</v>
      </c>
      <c r="W139" s="1" t="n">
        <f aca="false">IF(coding!$O139="",0,IF(ISNUMBER(SEARCH("T1",coding!$O139)),1,0))</f>
        <v>0</v>
      </c>
      <c r="X139" s="1" t="n">
        <f aca="false">IF(coding!$O139="",0,IF(ISNUMBER(SEARCH("T2",coding!$O139)),1,0))</f>
        <v>1</v>
      </c>
      <c r="Y139" s="1" t="n">
        <f aca="false">IF(coding!$O139="",0,IF(ISNUMBER(SEARCH("T3",coding!$O139)),1,0))</f>
        <v>0</v>
      </c>
      <c r="Z139" s="1" t="n">
        <f aca="false">IF(coding!$O139="",0,IF(ISNUMBER(SEARCH("T4",coding!$O139)),1,0))</f>
        <v>0</v>
      </c>
      <c r="AA139" s="1" t="n">
        <f aca="false">IF(coding!$O139="",0,IF(ISNUMBER(SEARCH("T5",coding!$O139)),1,0))</f>
        <v>0</v>
      </c>
      <c r="AB139" s="1" t="n">
        <f aca="false">IF(coding!$O139="",0,IF(ISNUMBER(SEARCH("T6",coding!$O139)),1,0))</f>
        <v>1</v>
      </c>
      <c r="AC139" s="1" t="n">
        <f aca="false">IF(coding!$O139="",0,IF(ISNUMBER(SEARCH("T7",coding!$O139)),1,0))</f>
        <v>0</v>
      </c>
      <c r="AD139" s="1" t="n">
        <f aca="false">IF(coding!$O139="",0,IF(ISNUMBER(SEARCH("T8",coding!$O139)),1,0))</f>
        <v>0</v>
      </c>
      <c r="AE139" s="1" t="n">
        <f aca="false">IF(coding!$O139="",0,IF(ISNUMBER(SEARCH("T9",coding!$O139)),1,0))</f>
        <v>0</v>
      </c>
      <c r="AF139" s="1" t="n">
        <f aca="false">SUMPRODUCT($E139:$M139,$N139:$V139)</f>
        <v>0</v>
      </c>
      <c r="AG139" s="1" t="n">
        <f aca="false">SUMPRODUCT(--(($E139:$M139+$N139:$V139)&gt;0))</f>
        <v>0</v>
      </c>
      <c r="AH139" s="1" t="str">
        <f aca="false">IF(AND($B139=1,$C139=1),IF($AG139=0,1,$AF139/$AG139),"")</f>
        <v/>
      </c>
      <c r="AI139" s="1" t="str">
        <f aca="false">IF(AND($B139=1,$C139=1),IF(coding!$I139=coding!$J139,1,0),"")</f>
        <v/>
      </c>
      <c r="AJ139" s="1" t="str">
        <f aca="false">IF($B139=1,IF(SUMPRODUCT(--(($E139:$M139+$W139:$AE139)&gt;0))=0,1,SUMPRODUCT($E139:$M139,$W139:$AE139)/SUMPRODUCT(--(($E139:$M139+$W139:$AE139)&gt;0))),"")</f>
        <v/>
      </c>
      <c r="AK139" s="1" t="str">
        <f aca="false">IF($C139=1,IF(SUMPRODUCT(--(($N139:$V139+$W139:$AE139)&gt;0))=0,1,SUMPRODUCT($N139:$V139,$W139:$AE139)/SUMPRODUCT(--(($N139:$V139+$W139:$AE139)&gt;0))),"")</f>
        <v/>
      </c>
    </row>
    <row r="140" customFormat="false" ht="15" hidden="false" customHeight="true" outlineLevel="0" collapsed="false">
      <c r="A140" s="1" t="str">
        <f aca="false">coding!$A140</f>
        <v>P139</v>
      </c>
      <c r="B140" s="1" t="n">
        <f aca="false">IF(coding!$I140="",0,1)</f>
        <v>0</v>
      </c>
      <c r="C140" s="1" t="n">
        <f aca="false">IF(coding!$J140="",0,1)</f>
        <v>0</v>
      </c>
      <c r="D140" s="1" t="n">
        <f aca="false">IF(coding!$O140="",0,1)</f>
        <v>1</v>
      </c>
      <c r="E140" s="1" t="n">
        <f aca="false">IF(coding!$I140="",0,IF(ISNUMBER(SEARCH("T1",coding!$I140)),1,0))</f>
        <v>0</v>
      </c>
      <c r="F140" s="1" t="n">
        <f aca="false">IF(coding!$I140="",0,IF(ISNUMBER(SEARCH("T2",coding!$I140)),1,0))</f>
        <v>0</v>
      </c>
      <c r="G140" s="1" t="n">
        <f aca="false">IF(coding!$I140="",0,IF(ISNUMBER(SEARCH("T3",coding!$I140)),1,0))</f>
        <v>0</v>
      </c>
      <c r="H140" s="1" t="n">
        <f aca="false">IF(coding!$I140="",0,IF(ISNUMBER(SEARCH("T4",coding!$I140)),1,0))</f>
        <v>0</v>
      </c>
      <c r="I140" s="1" t="n">
        <f aca="false">IF(coding!$I140="",0,IF(ISNUMBER(SEARCH("T5",coding!$I140)),1,0))</f>
        <v>0</v>
      </c>
      <c r="J140" s="1" t="n">
        <f aca="false">IF(coding!$I140="",0,IF(ISNUMBER(SEARCH("T6",coding!$I140)),1,0))</f>
        <v>0</v>
      </c>
      <c r="K140" s="1" t="n">
        <f aca="false">IF(coding!$I140="",0,IF(ISNUMBER(SEARCH("T7",coding!$I140)),1,0))</f>
        <v>0</v>
      </c>
      <c r="L140" s="1" t="n">
        <f aca="false">IF(coding!$I140="",0,IF(ISNUMBER(SEARCH("T8",coding!$I140)),1,0))</f>
        <v>0</v>
      </c>
      <c r="M140" s="1" t="n">
        <f aca="false">IF(coding!$I140="",0,IF(ISNUMBER(SEARCH("T9",coding!$I140)),1,0))</f>
        <v>0</v>
      </c>
      <c r="N140" s="1" t="n">
        <f aca="false">IF(coding!$J140="",0,IF(ISNUMBER(SEARCH("T1",coding!$J140)),1,0))</f>
        <v>0</v>
      </c>
      <c r="O140" s="1" t="n">
        <f aca="false">IF(coding!$J140="",0,IF(ISNUMBER(SEARCH("T2",coding!$J140)),1,0))</f>
        <v>0</v>
      </c>
      <c r="P140" s="1" t="n">
        <f aca="false">IF(coding!$J140="",0,IF(ISNUMBER(SEARCH("T3",coding!$J140)),1,0))</f>
        <v>0</v>
      </c>
      <c r="Q140" s="1" t="n">
        <f aca="false">IF(coding!$J140="",0,IF(ISNUMBER(SEARCH("T4",coding!$J140)),1,0))</f>
        <v>0</v>
      </c>
      <c r="R140" s="1" t="n">
        <f aca="false">IF(coding!$J140="",0,IF(ISNUMBER(SEARCH("T5",coding!$J140)),1,0))</f>
        <v>0</v>
      </c>
      <c r="S140" s="1" t="n">
        <f aca="false">IF(coding!$J140="",0,IF(ISNUMBER(SEARCH("T6",coding!$J140)),1,0))</f>
        <v>0</v>
      </c>
      <c r="T140" s="1" t="n">
        <f aca="false">IF(coding!$J140="",0,IF(ISNUMBER(SEARCH("T7",coding!$J140)),1,0))</f>
        <v>0</v>
      </c>
      <c r="U140" s="1" t="n">
        <f aca="false">IF(coding!$J140="",0,IF(ISNUMBER(SEARCH("T8",coding!$J140)),1,0))</f>
        <v>0</v>
      </c>
      <c r="V140" s="1" t="n">
        <f aca="false">IF(coding!$J140="",0,IF(ISNUMBER(SEARCH("T9",coding!$J140)),1,0))</f>
        <v>0</v>
      </c>
      <c r="W140" s="1" t="n">
        <f aca="false">IF(coding!$O140="",0,IF(ISNUMBER(SEARCH("T1",coding!$O140)),1,0))</f>
        <v>1</v>
      </c>
      <c r="X140" s="1" t="n">
        <f aca="false">IF(coding!$O140="",0,IF(ISNUMBER(SEARCH("T2",coding!$O140)),1,0))</f>
        <v>0</v>
      </c>
      <c r="Y140" s="1" t="n">
        <f aca="false">IF(coding!$O140="",0,IF(ISNUMBER(SEARCH("T3",coding!$O140)),1,0))</f>
        <v>0</v>
      </c>
      <c r="Z140" s="1" t="n">
        <f aca="false">IF(coding!$O140="",0,IF(ISNUMBER(SEARCH("T4",coding!$O140)),1,0))</f>
        <v>0</v>
      </c>
      <c r="AA140" s="1" t="n">
        <f aca="false">IF(coding!$O140="",0,IF(ISNUMBER(SEARCH("T5",coding!$O140)),1,0))</f>
        <v>0</v>
      </c>
      <c r="AB140" s="1" t="n">
        <f aca="false">IF(coding!$O140="",0,IF(ISNUMBER(SEARCH("T6",coding!$O140)),1,0))</f>
        <v>0</v>
      </c>
      <c r="AC140" s="1" t="n">
        <f aca="false">IF(coding!$O140="",0,IF(ISNUMBER(SEARCH("T7",coding!$O140)),1,0))</f>
        <v>0</v>
      </c>
      <c r="AD140" s="1" t="n">
        <f aca="false">IF(coding!$O140="",0,IF(ISNUMBER(SEARCH("T8",coding!$O140)),1,0))</f>
        <v>0</v>
      </c>
      <c r="AE140" s="1" t="n">
        <f aca="false">IF(coding!$O140="",0,IF(ISNUMBER(SEARCH("T9",coding!$O140)),1,0))</f>
        <v>0</v>
      </c>
      <c r="AF140" s="1" t="n">
        <f aca="false">SUMPRODUCT($E140:$M140,$N140:$V140)</f>
        <v>0</v>
      </c>
      <c r="AG140" s="1" t="n">
        <f aca="false">SUMPRODUCT(--(($E140:$M140+$N140:$V140)&gt;0))</f>
        <v>0</v>
      </c>
      <c r="AH140" s="1" t="str">
        <f aca="false">IF(AND($B140=1,$C140=1),IF($AG140=0,1,$AF140/$AG140),"")</f>
        <v/>
      </c>
      <c r="AI140" s="1" t="str">
        <f aca="false">IF(AND($B140=1,$C140=1),IF(coding!$I140=coding!$J140,1,0),"")</f>
        <v/>
      </c>
      <c r="AJ140" s="1" t="str">
        <f aca="false">IF($B140=1,IF(SUMPRODUCT(--(($E140:$M140+$W140:$AE140)&gt;0))=0,1,SUMPRODUCT($E140:$M140,$W140:$AE140)/SUMPRODUCT(--(($E140:$M140+$W140:$AE140)&gt;0))),"")</f>
        <v/>
      </c>
      <c r="AK140" s="1" t="str">
        <f aca="false">IF($C140=1,IF(SUMPRODUCT(--(($N140:$V140+$W140:$AE140)&gt;0))=0,1,SUMPRODUCT($N140:$V140,$W140:$AE140)/SUMPRODUCT(--(($N140:$V140+$W140:$AE140)&gt;0))),"")</f>
        <v/>
      </c>
    </row>
    <row r="141" customFormat="false" ht="15" hidden="false" customHeight="true" outlineLevel="0" collapsed="false">
      <c r="A141" s="1" t="str">
        <f aca="false">coding!$A141</f>
        <v>P140</v>
      </c>
      <c r="B141" s="1" t="n">
        <f aca="false">IF(coding!$I141="",0,1)</f>
        <v>0</v>
      </c>
      <c r="C141" s="1" t="n">
        <f aca="false">IF(coding!$J141="",0,1)</f>
        <v>0</v>
      </c>
      <c r="D141" s="1" t="n">
        <f aca="false">IF(coding!$O141="",0,1)</f>
        <v>1</v>
      </c>
      <c r="E141" s="1" t="n">
        <f aca="false">IF(coding!$I141="",0,IF(ISNUMBER(SEARCH("T1",coding!$I141)),1,0))</f>
        <v>0</v>
      </c>
      <c r="F141" s="1" t="n">
        <f aca="false">IF(coding!$I141="",0,IF(ISNUMBER(SEARCH("T2",coding!$I141)),1,0))</f>
        <v>0</v>
      </c>
      <c r="G141" s="1" t="n">
        <f aca="false">IF(coding!$I141="",0,IF(ISNUMBER(SEARCH("T3",coding!$I141)),1,0))</f>
        <v>0</v>
      </c>
      <c r="H141" s="1" t="n">
        <f aca="false">IF(coding!$I141="",0,IF(ISNUMBER(SEARCH("T4",coding!$I141)),1,0))</f>
        <v>0</v>
      </c>
      <c r="I141" s="1" t="n">
        <f aca="false">IF(coding!$I141="",0,IF(ISNUMBER(SEARCH("T5",coding!$I141)),1,0))</f>
        <v>0</v>
      </c>
      <c r="J141" s="1" t="n">
        <f aca="false">IF(coding!$I141="",0,IF(ISNUMBER(SEARCH("T6",coding!$I141)),1,0))</f>
        <v>0</v>
      </c>
      <c r="K141" s="1" t="n">
        <f aca="false">IF(coding!$I141="",0,IF(ISNUMBER(SEARCH("T7",coding!$I141)),1,0))</f>
        <v>0</v>
      </c>
      <c r="L141" s="1" t="n">
        <f aca="false">IF(coding!$I141="",0,IF(ISNUMBER(SEARCH("T8",coding!$I141)),1,0))</f>
        <v>0</v>
      </c>
      <c r="M141" s="1" t="n">
        <f aca="false">IF(coding!$I141="",0,IF(ISNUMBER(SEARCH("T9",coding!$I141)),1,0))</f>
        <v>0</v>
      </c>
      <c r="N141" s="1" t="n">
        <f aca="false">IF(coding!$J141="",0,IF(ISNUMBER(SEARCH("T1",coding!$J141)),1,0))</f>
        <v>0</v>
      </c>
      <c r="O141" s="1" t="n">
        <f aca="false">IF(coding!$J141="",0,IF(ISNUMBER(SEARCH("T2",coding!$J141)),1,0))</f>
        <v>0</v>
      </c>
      <c r="P141" s="1" t="n">
        <f aca="false">IF(coding!$J141="",0,IF(ISNUMBER(SEARCH("T3",coding!$J141)),1,0))</f>
        <v>0</v>
      </c>
      <c r="Q141" s="1" t="n">
        <f aca="false">IF(coding!$J141="",0,IF(ISNUMBER(SEARCH("T4",coding!$J141)),1,0))</f>
        <v>0</v>
      </c>
      <c r="R141" s="1" t="n">
        <f aca="false">IF(coding!$J141="",0,IF(ISNUMBER(SEARCH("T5",coding!$J141)),1,0))</f>
        <v>0</v>
      </c>
      <c r="S141" s="1" t="n">
        <f aca="false">IF(coding!$J141="",0,IF(ISNUMBER(SEARCH("T6",coding!$J141)),1,0))</f>
        <v>0</v>
      </c>
      <c r="T141" s="1" t="n">
        <f aca="false">IF(coding!$J141="",0,IF(ISNUMBER(SEARCH("T7",coding!$J141)),1,0))</f>
        <v>0</v>
      </c>
      <c r="U141" s="1" t="n">
        <f aca="false">IF(coding!$J141="",0,IF(ISNUMBER(SEARCH("T8",coding!$J141)),1,0))</f>
        <v>0</v>
      </c>
      <c r="V141" s="1" t="n">
        <f aca="false">IF(coding!$J141="",0,IF(ISNUMBER(SEARCH("T9",coding!$J141)),1,0))</f>
        <v>0</v>
      </c>
      <c r="W141" s="1" t="n">
        <f aca="false">IF(coding!$O141="",0,IF(ISNUMBER(SEARCH("T1",coding!$O141)),1,0))</f>
        <v>0</v>
      </c>
      <c r="X141" s="1" t="n">
        <f aca="false">IF(coding!$O141="",0,IF(ISNUMBER(SEARCH("T2",coding!$O141)),1,0))</f>
        <v>1</v>
      </c>
      <c r="Y141" s="1" t="n">
        <f aca="false">IF(coding!$O141="",0,IF(ISNUMBER(SEARCH("T3",coding!$O141)),1,0))</f>
        <v>0</v>
      </c>
      <c r="Z141" s="1" t="n">
        <f aca="false">IF(coding!$O141="",0,IF(ISNUMBER(SEARCH("T4",coding!$O141)),1,0))</f>
        <v>0</v>
      </c>
      <c r="AA141" s="1" t="n">
        <f aca="false">IF(coding!$O141="",0,IF(ISNUMBER(SEARCH("T5",coding!$O141)),1,0))</f>
        <v>0</v>
      </c>
      <c r="AB141" s="1" t="n">
        <f aca="false">IF(coding!$O141="",0,IF(ISNUMBER(SEARCH("T6",coding!$O141)),1,0))</f>
        <v>0</v>
      </c>
      <c r="AC141" s="1" t="n">
        <f aca="false">IF(coding!$O141="",0,IF(ISNUMBER(SEARCH("T7",coding!$O141)),1,0))</f>
        <v>0</v>
      </c>
      <c r="AD141" s="1" t="n">
        <f aca="false">IF(coding!$O141="",0,IF(ISNUMBER(SEARCH("T8",coding!$O141)),1,0))</f>
        <v>0</v>
      </c>
      <c r="AE141" s="1" t="n">
        <f aca="false">IF(coding!$O141="",0,IF(ISNUMBER(SEARCH("T9",coding!$O141)),1,0))</f>
        <v>0</v>
      </c>
      <c r="AF141" s="1" t="n">
        <f aca="false">SUMPRODUCT($E141:$M141,$N141:$V141)</f>
        <v>0</v>
      </c>
      <c r="AG141" s="1" t="n">
        <f aca="false">SUMPRODUCT(--(($E141:$M141+$N141:$V141)&gt;0))</f>
        <v>0</v>
      </c>
      <c r="AH141" s="1" t="str">
        <f aca="false">IF(AND($B141=1,$C141=1),IF($AG141=0,1,$AF141/$AG141),"")</f>
        <v/>
      </c>
      <c r="AI141" s="1" t="str">
        <f aca="false">IF(AND($B141=1,$C141=1),IF(coding!$I141=coding!$J141,1,0),"")</f>
        <v/>
      </c>
      <c r="AJ141" s="1" t="str">
        <f aca="false">IF($B141=1,IF(SUMPRODUCT(--(($E141:$M141+$W141:$AE141)&gt;0))=0,1,SUMPRODUCT($E141:$M141,$W141:$AE141)/SUMPRODUCT(--(($E141:$M141+$W141:$AE141)&gt;0))),"")</f>
        <v/>
      </c>
      <c r="AK141" s="1" t="str">
        <f aca="false">IF($C141=1,IF(SUMPRODUCT(--(($N141:$V141+$W141:$AE141)&gt;0))=0,1,SUMPRODUCT($N141:$V141,$W141:$AE141)/SUMPRODUCT(--(($N141:$V141+$W141:$AE141)&gt;0))),"")</f>
        <v/>
      </c>
    </row>
    <row r="142" customFormat="false" ht="15" hidden="false" customHeight="true" outlineLevel="0" collapsed="false">
      <c r="A142" s="1" t="str">
        <f aca="false">coding!$A142</f>
        <v>P141</v>
      </c>
      <c r="B142" s="1" t="n">
        <f aca="false">IF(coding!$I142="",0,1)</f>
        <v>0</v>
      </c>
      <c r="C142" s="1" t="n">
        <f aca="false">IF(coding!$J142="",0,1)</f>
        <v>0</v>
      </c>
      <c r="D142" s="1" t="n">
        <f aca="false">IF(coding!$O142="",0,1)</f>
        <v>1</v>
      </c>
      <c r="E142" s="1" t="n">
        <f aca="false">IF(coding!$I142="",0,IF(ISNUMBER(SEARCH("T1",coding!$I142)),1,0))</f>
        <v>0</v>
      </c>
      <c r="F142" s="1" t="n">
        <f aca="false">IF(coding!$I142="",0,IF(ISNUMBER(SEARCH("T2",coding!$I142)),1,0))</f>
        <v>0</v>
      </c>
      <c r="G142" s="1" t="n">
        <f aca="false">IF(coding!$I142="",0,IF(ISNUMBER(SEARCH("T3",coding!$I142)),1,0))</f>
        <v>0</v>
      </c>
      <c r="H142" s="1" t="n">
        <f aca="false">IF(coding!$I142="",0,IF(ISNUMBER(SEARCH("T4",coding!$I142)),1,0))</f>
        <v>0</v>
      </c>
      <c r="I142" s="1" t="n">
        <f aca="false">IF(coding!$I142="",0,IF(ISNUMBER(SEARCH("T5",coding!$I142)),1,0))</f>
        <v>0</v>
      </c>
      <c r="J142" s="1" t="n">
        <f aca="false">IF(coding!$I142="",0,IF(ISNUMBER(SEARCH("T6",coding!$I142)),1,0))</f>
        <v>0</v>
      </c>
      <c r="K142" s="1" t="n">
        <f aca="false">IF(coding!$I142="",0,IF(ISNUMBER(SEARCH("T7",coding!$I142)),1,0))</f>
        <v>0</v>
      </c>
      <c r="L142" s="1" t="n">
        <f aca="false">IF(coding!$I142="",0,IF(ISNUMBER(SEARCH("T8",coding!$I142)),1,0))</f>
        <v>0</v>
      </c>
      <c r="M142" s="1" t="n">
        <f aca="false">IF(coding!$I142="",0,IF(ISNUMBER(SEARCH("T9",coding!$I142)),1,0))</f>
        <v>0</v>
      </c>
      <c r="N142" s="1" t="n">
        <f aca="false">IF(coding!$J142="",0,IF(ISNUMBER(SEARCH("T1",coding!$J142)),1,0))</f>
        <v>0</v>
      </c>
      <c r="O142" s="1" t="n">
        <f aca="false">IF(coding!$J142="",0,IF(ISNUMBER(SEARCH("T2",coding!$J142)),1,0))</f>
        <v>0</v>
      </c>
      <c r="P142" s="1" t="n">
        <f aca="false">IF(coding!$J142="",0,IF(ISNUMBER(SEARCH("T3",coding!$J142)),1,0))</f>
        <v>0</v>
      </c>
      <c r="Q142" s="1" t="n">
        <f aca="false">IF(coding!$J142="",0,IF(ISNUMBER(SEARCH("T4",coding!$J142)),1,0))</f>
        <v>0</v>
      </c>
      <c r="R142" s="1" t="n">
        <f aca="false">IF(coding!$J142="",0,IF(ISNUMBER(SEARCH("T5",coding!$J142)),1,0))</f>
        <v>0</v>
      </c>
      <c r="S142" s="1" t="n">
        <f aca="false">IF(coding!$J142="",0,IF(ISNUMBER(SEARCH("T6",coding!$J142)),1,0))</f>
        <v>0</v>
      </c>
      <c r="T142" s="1" t="n">
        <f aca="false">IF(coding!$J142="",0,IF(ISNUMBER(SEARCH("T7",coding!$J142)),1,0))</f>
        <v>0</v>
      </c>
      <c r="U142" s="1" t="n">
        <f aca="false">IF(coding!$J142="",0,IF(ISNUMBER(SEARCH("T8",coding!$J142)),1,0))</f>
        <v>0</v>
      </c>
      <c r="V142" s="1" t="n">
        <f aca="false">IF(coding!$J142="",0,IF(ISNUMBER(SEARCH("T9",coding!$J142)),1,0))</f>
        <v>0</v>
      </c>
      <c r="W142" s="1" t="n">
        <f aca="false">IF(coding!$O142="",0,IF(ISNUMBER(SEARCH("T1",coding!$O142)),1,0))</f>
        <v>1</v>
      </c>
      <c r="X142" s="1" t="n">
        <f aca="false">IF(coding!$O142="",0,IF(ISNUMBER(SEARCH("T2",coding!$O142)),1,0))</f>
        <v>0</v>
      </c>
      <c r="Y142" s="1" t="n">
        <f aca="false">IF(coding!$O142="",0,IF(ISNUMBER(SEARCH("T3",coding!$O142)),1,0))</f>
        <v>0</v>
      </c>
      <c r="Z142" s="1" t="n">
        <f aca="false">IF(coding!$O142="",0,IF(ISNUMBER(SEARCH("T4",coding!$O142)),1,0))</f>
        <v>1</v>
      </c>
      <c r="AA142" s="1" t="n">
        <f aca="false">IF(coding!$O142="",0,IF(ISNUMBER(SEARCH("T5",coding!$O142)),1,0))</f>
        <v>0</v>
      </c>
      <c r="AB142" s="1" t="n">
        <f aca="false">IF(coding!$O142="",0,IF(ISNUMBER(SEARCH("T6",coding!$O142)),1,0))</f>
        <v>1</v>
      </c>
      <c r="AC142" s="1" t="n">
        <f aca="false">IF(coding!$O142="",0,IF(ISNUMBER(SEARCH("T7",coding!$O142)),1,0))</f>
        <v>0</v>
      </c>
      <c r="AD142" s="1" t="n">
        <f aca="false">IF(coding!$O142="",0,IF(ISNUMBER(SEARCH("T8",coding!$O142)),1,0))</f>
        <v>0</v>
      </c>
      <c r="AE142" s="1" t="n">
        <f aca="false">IF(coding!$O142="",0,IF(ISNUMBER(SEARCH("T9",coding!$O142)),1,0))</f>
        <v>0</v>
      </c>
      <c r="AF142" s="1" t="n">
        <f aca="false">SUMPRODUCT($E142:$M142,$N142:$V142)</f>
        <v>0</v>
      </c>
      <c r="AG142" s="1" t="n">
        <f aca="false">SUMPRODUCT(--(($E142:$M142+$N142:$V142)&gt;0))</f>
        <v>0</v>
      </c>
      <c r="AH142" s="1" t="str">
        <f aca="false">IF(AND($B142=1,$C142=1),IF($AG142=0,1,$AF142/$AG142),"")</f>
        <v/>
      </c>
      <c r="AI142" s="1" t="str">
        <f aca="false">IF(AND($B142=1,$C142=1),IF(coding!$I142=coding!$J142,1,0),"")</f>
        <v/>
      </c>
      <c r="AJ142" s="1" t="str">
        <f aca="false">IF($B142=1,IF(SUMPRODUCT(--(($E142:$M142+$W142:$AE142)&gt;0))=0,1,SUMPRODUCT($E142:$M142,$W142:$AE142)/SUMPRODUCT(--(($E142:$M142+$W142:$AE142)&gt;0))),"")</f>
        <v/>
      </c>
      <c r="AK142" s="1" t="str">
        <f aca="false">IF($C142=1,IF(SUMPRODUCT(--(($N142:$V142+$W142:$AE142)&gt;0))=0,1,SUMPRODUCT($N142:$V142,$W142:$AE142)/SUMPRODUCT(--(($N142:$V142+$W142:$AE142)&gt;0))),"")</f>
        <v/>
      </c>
    </row>
    <row r="143" customFormat="false" ht="15" hidden="false" customHeight="true" outlineLevel="0" collapsed="false">
      <c r="A143" s="1" t="str">
        <f aca="false">coding!$A143</f>
        <v>P142</v>
      </c>
      <c r="B143" s="1" t="n">
        <f aca="false">IF(coding!$I143="",0,1)</f>
        <v>0</v>
      </c>
      <c r="C143" s="1" t="n">
        <f aca="false">IF(coding!$J143="",0,1)</f>
        <v>0</v>
      </c>
      <c r="D143" s="1" t="n">
        <f aca="false">IF(coding!$O143="",0,1)</f>
        <v>1</v>
      </c>
      <c r="E143" s="1" t="n">
        <f aca="false">IF(coding!$I143="",0,IF(ISNUMBER(SEARCH("T1",coding!$I143)),1,0))</f>
        <v>0</v>
      </c>
      <c r="F143" s="1" t="n">
        <f aca="false">IF(coding!$I143="",0,IF(ISNUMBER(SEARCH("T2",coding!$I143)),1,0))</f>
        <v>0</v>
      </c>
      <c r="G143" s="1" t="n">
        <f aca="false">IF(coding!$I143="",0,IF(ISNUMBER(SEARCH("T3",coding!$I143)),1,0))</f>
        <v>0</v>
      </c>
      <c r="H143" s="1" t="n">
        <f aca="false">IF(coding!$I143="",0,IF(ISNUMBER(SEARCH("T4",coding!$I143)),1,0))</f>
        <v>0</v>
      </c>
      <c r="I143" s="1" t="n">
        <f aca="false">IF(coding!$I143="",0,IF(ISNUMBER(SEARCH("T5",coding!$I143)),1,0))</f>
        <v>0</v>
      </c>
      <c r="J143" s="1" t="n">
        <f aca="false">IF(coding!$I143="",0,IF(ISNUMBER(SEARCH("T6",coding!$I143)),1,0))</f>
        <v>0</v>
      </c>
      <c r="K143" s="1" t="n">
        <f aca="false">IF(coding!$I143="",0,IF(ISNUMBER(SEARCH("T7",coding!$I143)),1,0))</f>
        <v>0</v>
      </c>
      <c r="L143" s="1" t="n">
        <f aca="false">IF(coding!$I143="",0,IF(ISNUMBER(SEARCH("T8",coding!$I143)),1,0))</f>
        <v>0</v>
      </c>
      <c r="M143" s="1" t="n">
        <f aca="false">IF(coding!$I143="",0,IF(ISNUMBER(SEARCH("T9",coding!$I143)),1,0))</f>
        <v>0</v>
      </c>
      <c r="N143" s="1" t="n">
        <f aca="false">IF(coding!$J143="",0,IF(ISNUMBER(SEARCH("T1",coding!$J143)),1,0))</f>
        <v>0</v>
      </c>
      <c r="O143" s="1" t="n">
        <f aca="false">IF(coding!$J143="",0,IF(ISNUMBER(SEARCH("T2",coding!$J143)),1,0))</f>
        <v>0</v>
      </c>
      <c r="P143" s="1" t="n">
        <f aca="false">IF(coding!$J143="",0,IF(ISNUMBER(SEARCH("T3",coding!$J143)),1,0))</f>
        <v>0</v>
      </c>
      <c r="Q143" s="1" t="n">
        <f aca="false">IF(coding!$J143="",0,IF(ISNUMBER(SEARCH("T4",coding!$J143)),1,0))</f>
        <v>0</v>
      </c>
      <c r="R143" s="1" t="n">
        <f aca="false">IF(coding!$J143="",0,IF(ISNUMBER(SEARCH("T5",coding!$J143)),1,0))</f>
        <v>0</v>
      </c>
      <c r="S143" s="1" t="n">
        <f aca="false">IF(coding!$J143="",0,IF(ISNUMBER(SEARCH("T6",coding!$J143)),1,0))</f>
        <v>0</v>
      </c>
      <c r="T143" s="1" t="n">
        <f aca="false">IF(coding!$J143="",0,IF(ISNUMBER(SEARCH("T7",coding!$J143)),1,0))</f>
        <v>0</v>
      </c>
      <c r="U143" s="1" t="n">
        <f aca="false">IF(coding!$J143="",0,IF(ISNUMBER(SEARCH("T8",coding!$J143)),1,0))</f>
        <v>0</v>
      </c>
      <c r="V143" s="1" t="n">
        <f aca="false">IF(coding!$J143="",0,IF(ISNUMBER(SEARCH("T9",coding!$J143)),1,0))</f>
        <v>0</v>
      </c>
      <c r="W143" s="1" t="n">
        <f aca="false">IF(coding!$O143="",0,IF(ISNUMBER(SEARCH("T1",coding!$O143)),1,0))</f>
        <v>1</v>
      </c>
      <c r="X143" s="1" t="n">
        <f aca="false">IF(coding!$O143="",0,IF(ISNUMBER(SEARCH("T2",coding!$O143)),1,0))</f>
        <v>0</v>
      </c>
      <c r="Y143" s="1" t="n">
        <f aca="false">IF(coding!$O143="",0,IF(ISNUMBER(SEARCH("T3",coding!$O143)),1,0))</f>
        <v>0</v>
      </c>
      <c r="Z143" s="1" t="n">
        <f aca="false">IF(coding!$O143="",0,IF(ISNUMBER(SEARCH("T4",coding!$O143)),1,0))</f>
        <v>1</v>
      </c>
      <c r="AA143" s="1" t="n">
        <f aca="false">IF(coding!$O143="",0,IF(ISNUMBER(SEARCH("T5",coding!$O143)),1,0))</f>
        <v>1</v>
      </c>
      <c r="AB143" s="1" t="n">
        <f aca="false">IF(coding!$O143="",0,IF(ISNUMBER(SEARCH("T6",coding!$O143)),1,0))</f>
        <v>0</v>
      </c>
      <c r="AC143" s="1" t="n">
        <f aca="false">IF(coding!$O143="",0,IF(ISNUMBER(SEARCH("T7",coding!$O143)),1,0))</f>
        <v>0</v>
      </c>
      <c r="AD143" s="1" t="n">
        <f aca="false">IF(coding!$O143="",0,IF(ISNUMBER(SEARCH("T8",coding!$O143)),1,0))</f>
        <v>0</v>
      </c>
      <c r="AE143" s="1" t="n">
        <f aca="false">IF(coding!$O143="",0,IF(ISNUMBER(SEARCH("T9",coding!$O143)),1,0))</f>
        <v>0</v>
      </c>
      <c r="AF143" s="1" t="n">
        <f aca="false">SUMPRODUCT($E143:$M143,$N143:$V143)</f>
        <v>0</v>
      </c>
      <c r="AG143" s="1" t="n">
        <f aca="false">SUMPRODUCT(--(($E143:$M143+$N143:$V143)&gt;0))</f>
        <v>0</v>
      </c>
      <c r="AH143" s="1" t="str">
        <f aca="false">IF(AND($B143=1,$C143=1),IF($AG143=0,1,$AF143/$AG143),"")</f>
        <v/>
      </c>
      <c r="AI143" s="1" t="str">
        <f aca="false">IF(AND($B143=1,$C143=1),IF(coding!$I143=coding!$J143,1,0),"")</f>
        <v/>
      </c>
      <c r="AJ143" s="1" t="str">
        <f aca="false">IF($B143=1,IF(SUMPRODUCT(--(($E143:$M143+$W143:$AE143)&gt;0))=0,1,SUMPRODUCT($E143:$M143,$W143:$AE143)/SUMPRODUCT(--(($E143:$M143+$W143:$AE143)&gt;0))),"")</f>
        <v/>
      </c>
      <c r="AK143" s="1" t="str">
        <f aca="false">IF($C143=1,IF(SUMPRODUCT(--(($N143:$V143+$W143:$AE143)&gt;0))=0,1,SUMPRODUCT($N143:$V143,$W143:$AE143)/SUMPRODUCT(--(($N143:$V143+$W143:$AE143)&gt;0))),"")</f>
        <v/>
      </c>
    </row>
    <row r="144" customFormat="false" ht="15" hidden="false" customHeight="true" outlineLevel="0" collapsed="false">
      <c r="A144" s="1" t="str">
        <f aca="false">coding!$A144</f>
        <v>P143</v>
      </c>
      <c r="B144" s="1" t="n">
        <f aca="false">IF(coding!$I144="",0,1)</f>
        <v>0</v>
      </c>
      <c r="C144" s="1" t="n">
        <f aca="false">IF(coding!$J144="",0,1)</f>
        <v>0</v>
      </c>
      <c r="D144" s="1" t="n">
        <f aca="false">IF(coding!$O144="",0,1)</f>
        <v>1</v>
      </c>
      <c r="E144" s="1" t="n">
        <f aca="false">IF(coding!$I144="",0,IF(ISNUMBER(SEARCH("T1",coding!$I144)),1,0))</f>
        <v>0</v>
      </c>
      <c r="F144" s="1" t="n">
        <f aca="false">IF(coding!$I144="",0,IF(ISNUMBER(SEARCH("T2",coding!$I144)),1,0))</f>
        <v>0</v>
      </c>
      <c r="G144" s="1" t="n">
        <f aca="false">IF(coding!$I144="",0,IF(ISNUMBER(SEARCH("T3",coding!$I144)),1,0))</f>
        <v>0</v>
      </c>
      <c r="H144" s="1" t="n">
        <f aca="false">IF(coding!$I144="",0,IF(ISNUMBER(SEARCH("T4",coding!$I144)),1,0))</f>
        <v>0</v>
      </c>
      <c r="I144" s="1" t="n">
        <f aca="false">IF(coding!$I144="",0,IF(ISNUMBER(SEARCH("T5",coding!$I144)),1,0))</f>
        <v>0</v>
      </c>
      <c r="J144" s="1" t="n">
        <f aca="false">IF(coding!$I144="",0,IF(ISNUMBER(SEARCH("T6",coding!$I144)),1,0))</f>
        <v>0</v>
      </c>
      <c r="K144" s="1" t="n">
        <f aca="false">IF(coding!$I144="",0,IF(ISNUMBER(SEARCH("T7",coding!$I144)),1,0))</f>
        <v>0</v>
      </c>
      <c r="L144" s="1" t="n">
        <f aca="false">IF(coding!$I144="",0,IF(ISNUMBER(SEARCH("T8",coding!$I144)),1,0))</f>
        <v>0</v>
      </c>
      <c r="M144" s="1" t="n">
        <f aca="false">IF(coding!$I144="",0,IF(ISNUMBER(SEARCH("T9",coding!$I144)),1,0))</f>
        <v>0</v>
      </c>
      <c r="N144" s="1" t="n">
        <f aca="false">IF(coding!$J144="",0,IF(ISNUMBER(SEARCH("T1",coding!$J144)),1,0))</f>
        <v>0</v>
      </c>
      <c r="O144" s="1" t="n">
        <f aca="false">IF(coding!$J144="",0,IF(ISNUMBER(SEARCH("T2",coding!$J144)),1,0))</f>
        <v>0</v>
      </c>
      <c r="P144" s="1" t="n">
        <f aca="false">IF(coding!$J144="",0,IF(ISNUMBER(SEARCH("T3",coding!$J144)),1,0))</f>
        <v>0</v>
      </c>
      <c r="Q144" s="1" t="n">
        <f aca="false">IF(coding!$J144="",0,IF(ISNUMBER(SEARCH("T4",coding!$J144)),1,0))</f>
        <v>0</v>
      </c>
      <c r="R144" s="1" t="n">
        <f aca="false">IF(coding!$J144="",0,IF(ISNUMBER(SEARCH("T5",coding!$J144)),1,0))</f>
        <v>0</v>
      </c>
      <c r="S144" s="1" t="n">
        <f aca="false">IF(coding!$J144="",0,IF(ISNUMBER(SEARCH("T6",coding!$J144)),1,0))</f>
        <v>0</v>
      </c>
      <c r="T144" s="1" t="n">
        <f aca="false">IF(coding!$J144="",0,IF(ISNUMBER(SEARCH("T7",coding!$J144)),1,0))</f>
        <v>0</v>
      </c>
      <c r="U144" s="1" t="n">
        <f aca="false">IF(coding!$J144="",0,IF(ISNUMBER(SEARCH("T8",coding!$J144)),1,0))</f>
        <v>0</v>
      </c>
      <c r="V144" s="1" t="n">
        <f aca="false">IF(coding!$J144="",0,IF(ISNUMBER(SEARCH("T9",coding!$J144)),1,0))</f>
        <v>0</v>
      </c>
      <c r="W144" s="1" t="n">
        <f aca="false">IF(coding!$O144="",0,IF(ISNUMBER(SEARCH("T1",coding!$O144)),1,0))</f>
        <v>1</v>
      </c>
      <c r="X144" s="1" t="n">
        <f aca="false">IF(coding!$O144="",0,IF(ISNUMBER(SEARCH("T2",coding!$O144)),1,0))</f>
        <v>0</v>
      </c>
      <c r="Y144" s="1" t="n">
        <f aca="false">IF(coding!$O144="",0,IF(ISNUMBER(SEARCH("T3",coding!$O144)),1,0))</f>
        <v>0</v>
      </c>
      <c r="Z144" s="1" t="n">
        <f aca="false">IF(coding!$O144="",0,IF(ISNUMBER(SEARCH("T4",coding!$O144)),1,0))</f>
        <v>0</v>
      </c>
      <c r="AA144" s="1" t="n">
        <f aca="false">IF(coding!$O144="",0,IF(ISNUMBER(SEARCH("T5",coding!$O144)),1,0))</f>
        <v>0</v>
      </c>
      <c r="AB144" s="1" t="n">
        <f aca="false">IF(coding!$O144="",0,IF(ISNUMBER(SEARCH("T6",coding!$O144)),1,0))</f>
        <v>0</v>
      </c>
      <c r="AC144" s="1" t="n">
        <f aca="false">IF(coding!$O144="",0,IF(ISNUMBER(SEARCH("T7",coding!$O144)),1,0))</f>
        <v>0</v>
      </c>
      <c r="AD144" s="1" t="n">
        <f aca="false">IF(coding!$O144="",0,IF(ISNUMBER(SEARCH("T8",coding!$O144)),1,0))</f>
        <v>0</v>
      </c>
      <c r="AE144" s="1" t="n">
        <f aca="false">IF(coding!$O144="",0,IF(ISNUMBER(SEARCH("T9",coding!$O144)),1,0))</f>
        <v>0</v>
      </c>
      <c r="AF144" s="1" t="n">
        <f aca="false">SUMPRODUCT($E144:$M144,$N144:$V144)</f>
        <v>0</v>
      </c>
      <c r="AG144" s="1" t="n">
        <f aca="false">SUMPRODUCT(--(($E144:$M144+$N144:$V144)&gt;0))</f>
        <v>0</v>
      </c>
      <c r="AH144" s="1" t="str">
        <f aca="false">IF(AND($B144=1,$C144=1),IF($AG144=0,1,$AF144/$AG144),"")</f>
        <v/>
      </c>
      <c r="AI144" s="1" t="str">
        <f aca="false">IF(AND($B144=1,$C144=1),IF(coding!$I144=coding!$J144,1,0),"")</f>
        <v/>
      </c>
      <c r="AJ144" s="1" t="str">
        <f aca="false">IF($B144=1,IF(SUMPRODUCT(--(($E144:$M144+$W144:$AE144)&gt;0))=0,1,SUMPRODUCT($E144:$M144,$W144:$AE144)/SUMPRODUCT(--(($E144:$M144+$W144:$AE144)&gt;0))),"")</f>
        <v/>
      </c>
      <c r="AK144" s="1" t="str">
        <f aca="false">IF($C144=1,IF(SUMPRODUCT(--(($N144:$V144+$W144:$AE144)&gt;0))=0,1,SUMPRODUCT($N144:$V144,$W144:$AE144)/SUMPRODUCT(--(($N144:$V144+$W144:$AE144)&gt;0))),"")</f>
        <v/>
      </c>
    </row>
    <row r="145" customFormat="false" ht="15" hidden="false" customHeight="true" outlineLevel="0" collapsed="false">
      <c r="A145" s="1" t="str">
        <f aca="false">coding!$A145</f>
        <v>P144</v>
      </c>
      <c r="B145" s="1" t="n">
        <f aca="false">IF(coding!$I145="",0,1)</f>
        <v>0</v>
      </c>
      <c r="C145" s="1" t="n">
        <f aca="false">IF(coding!$J145="",0,1)</f>
        <v>0</v>
      </c>
      <c r="D145" s="1" t="n">
        <f aca="false">IF(coding!$O145="",0,1)</f>
        <v>1</v>
      </c>
      <c r="E145" s="1" t="n">
        <f aca="false">IF(coding!$I145="",0,IF(ISNUMBER(SEARCH("T1",coding!$I145)),1,0))</f>
        <v>0</v>
      </c>
      <c r="F145" s="1" t="n">
        <f aca="false">IF(coding!$I145="",0,IF(ISNUMBER(SEARCH("T2",coding!$I145)),1,0))</f>
        <v>0</v>
      </c>
      <c r="G145" s="1" t="n">
        <f aca="false">IF(coding!$I145="",0,IF(ISNUMBER(SEARCH("T3",coding!$I145)),1,0))</f>
        <v>0</v>
      </c>
      <c r="H145" s="1" t="n">
        <f aca="false">IF(coding!$I145="",0,IF(ISNUMBER(SEARCH("T4",coding!$I145)),1,0))</f>
        <v>0</v>
      </c>
      <c r="I145" s="1" t="n">
        <f aca="false">IF(coding!$I145="",0,IF(ISNUMBER(SEARCH("T5",coding!$I145)),1,0))</f>
        <v>0</v>
      </c>
      <c r="J145" s="1" t="n">
        <f aca="false">IF(coding!$I145="",0,IF(ISNUMBER(SEARCH("T6",coding!$I145)),1,0))</f>
        <v>0</v>
      </c>
      <c r="K145" s="1" t="n">
        <f aca="false">IF(coding!$I145="",0,IF(ISNUMBER(SEARCH("T7",coding!$I145)),1,0))</f>
        <v>0</v>
      </c>
      <c r="L145" s="1" t="n">
        <f aca="false">IF(coding!$I145="",0,IF(ISNUMBER(SEARCH("T8",coding!$I145)),1,0))</f>
        <v>0</v>
      </c>
      <c r="M145" s="1" t="n">
        <f aca="false">IF(coding!$I145="",0,IF(ISNUMBER(SEARCH("T9",coding!$I145)),1,0))</f>
        <v>0</v>
      </c>
      <c r="N145" s="1" t="n">
        <f aca="false">IF(coding!$J145="",0,IF(ISNUMBER(SEARCH("T1",coding!$J145)),1,0))</f>
        <v>0</v>
      </c>
      <c r="O145" s="1" t="n">
        <f aca="false">IF(coding!$J145="",0,IF(ISNUMBER(SEARCH("T2",coding!$J145)),1,0))</f>
        <v>0</v>
      </c>
      <c r="P145" s="1" t="n">
        <f aca="false">IF(coding!$J145="",0,IF(ISNUMBER(SEARCH("T3",coding!$J145)),1,0))</f>
        <v>0</v>
      </c>
      <c r="Q145" s="1" t="n">
        <f aca="false">IF(coding!$J145="",0,IF(ISNUMBER(SEARCH("T4",coding!$J145)),1,0))</f>
        <v>0</v>
      </c>
      <c r="R145" s="1" t="n">
        <f aca="false">IF(coding!$J145="",0,IF(ISNUMBER(SEARCH("T5",coding!$J145)),1,0))</f>
        <v>0</v>
      </c>
      <c r="S145" s="1" t="n">
        <f aca="false">IF(coding!$J145="",0,IF(ISNUMBER(SEARCH("T6",coding!$J145)),1,0))</f>
        <v>0</v>
      </c>
      <c r="T145" s="1" t="n">
        <f aca="false">IF(coding!$J145="",0,IF(ISNUMBER(SEARCH("T7",coding!$J145)),1,0))</f>
        <v>0</v>
      </c>
      <c r="U145" s="1" t="n">
        <f aca="false">IF(coding!$J145="",0,IF(ISNUMBER(SEARCH("T8",coding!$J145)),1,0))</f>
        <v>0</v>
      </c>
      <c r="V145" s="1" t="n">
        <f aca="false">IF(coding!$J145="",0,IF(ISNUMBER(SEARCH("T9",coding!$J145)),1,0))</f>
        <v>0</v>
      </c>
      <c r="W145" s="1" t="n">
        <f aca="false">IF(coding!$O145="",0,IF(ISNUMBER(SEARCH("T1",coding!$O145)),1,0))</f>
        <v>1</v>
      </c>
      <c r="X145" s="1" t="n">
        <f aca="false">IF(coding!$O145="",0,IF(ISNUMBER(SEARCH("T2",coding!$O145)),1,0))</f>
        <v>0</v>
      </c>
      <c r="Y145" s="1" t="n">
        <f aca="false">IF(coding!$O145="",0,IF(ISNUMBER(SEARCH("T3",coding!$O145)),1,0))</f>
        <v>0</v>
      </c>
      <c r="Z145" s="1" t="n">
        <f aca="false">IF(coding!$O145="",0,IF(ISNUMBER(SEARCH("T4",coding!$O145)),1,0))</f>
        <v>0</v>
      </c>
      <c r="AA145" s="1" t="n">
        <f aca="false">IF(coding!$O145="",0,IF(ISNUMBER(SEARCH("T5",coding!$O145)),1,0))</f>
        <v>0</v>
      </c>
      <c r="AB145" s="1" t="n">
        <f aca="false">IF(coding!$O145="",0,IF(ISNUMBER(SEARCH("T6",coding!$O145)),1,0))</f>
        <v>0</v>
      </c>
      <c r="AC145" s="1" t="n">
        <f aca="false">IF(coding!$O145="",0,IF(ISNUMBER(SEARCH("T7",coding!$O145)),1,0))</f>
        <v>0</v>
      </c>
      <c r="AD145" s="1" t="n">
        <f aca="false">IF(coding!$O145="",0,IF(ISNUMBER(SEARCH("T8",coding!$O145)),1,0))</f>
        <v>0</v>
      </c>
      <c r="AE145" s="1" t="n">
        <f aca="false">IF(coding!$O145="",0,IF(ISNUMBER(SEARCH("T9",coding!$O145)),1,0))</f>
        <v>0</v>
      </c>
      <c r="AF145" s="1" t="n">
        <f aca="false">SUMPRODUCT($E145:$M145,$N145:$V145)</f>
        <v>0</v>
      </c>
      <c r="AG145" s="1" t="n">
        <f aca="false">SUMPRODUCT(--(($E145:$M145+$N145:$V145)&gt;0))</f>
        <v>0</v>
      </c>
      <c r="AH145" s="1" t="str">
        <f aca="false">IF(AND($B145=1,$C145=1),IF($AG145=0,1,$AF145/$AG145),"")</f>
        <v/>
      </c>
      <c r="AI145" s="1" t="str">
        <f aca="false">IF(AND($B145=1,$C145=1),IF(coding!$I145=coding!$J145,1,0),"")</f>
        <v/>
      </c>
      <c r="AJ145" s="1" t="str">
        <f aca="false">IF($B145=1,IF(SUMPRODUCT(--(($E145:$M145+$W145:$AE145)&gt;0))=0,1,SUMPRODUCT($E145:$M145,$W145:$AE145)/SUMPRODUCT(--(($E145:$M145+$W145:$AE145)&gt;0))),"")</f>
        <v/>
      </c>
      <c r="AK145" s="1" t="str">
        <f aca="false">IF($C145=1,IF(SUMPRODUCT(--(($N145:$V145+$W145:$AE145)&gt;0))=0,1,SUMPRODUCT($N145:$V145,$W145:$AE145)/SUMPRODUCT(--(($N145:$V145+$W145:$AE145)&gt;0))),"")</f>
        <v/>
      </c>
    </row>
    <row r="146" customFormat="false" ht="15" hidden="false" customHeight="true" outlineLevel="0" collapsed="false">
      <c r="A146" s="1" t="str">
        <f aca="false">coding!$A146</f>
        <v>P145</v>
      </c>
      <c r="B146" s="1" t="n">
        <f aca="false">IF(coding!$I146="",0,1)</f>
        <v>0</v>
      </c>
      <c r="C146" s="1" t="n">
        <f aca="false">IF(coding!$J146="",0,1)</f>
        <v>0</v>
      </c>
      <c r="D146" s="1" t="n">
        <f aca="false">IF(coding!$O146="",0,1)</f>
        <v>1</v>
      </c>
      <c r="E146" s="1" t="n">
        <f aca="false">IF(coding!$I146="",0,IF(ISNUMBER(SEARCH("T1",coding!$I146)),1,0))</f>
        <v>0</v>
      </c>
      <c r="F146" s="1" t="n">
        <f aca="false">IF(coding!$I146="",0,IF(ISNUMBER(SEARCH("T2",coding!$I146)),1,0))</f>
        <v>0</v>
      </c>
      <c r="G146" s="1" t="n">
        <f aca="false">IF(coding!$I146="",0,IF(ISNUMBER(SEARCH("T3",coding!$I146)),1,0))</f>
        <v>0</v>
      </c>
      <c r="H146" s="1" t="n">
        <f aca="false">IF(coding!$I146="",0,IF(ISNUMBER(SEARCH("T4",coding!$I146)),1,0))</f>
        <v>0</v>
      </c>
      <c r="I146" s="1" t="n">
        <f aca="false">IF(coding!$I146="",0,IF(ISNUMBER(SEARCH("T5",coding!$I146)),1,0))</f>
        <v>0</v>
      </c>
      <c r="J146" s="1" t="n">
        <f aca="false">IF(coding!$I146="",0,IF(ISNUMBER(SEARCH("T6",coding!$I146)),1,0))</f>
        <v>0</v>
      </c>
      <c r="K146" s="1" t="n">
        <f aca="false">IF(coding!$I146="",0,IF(ISNUMBER(SEARCH("T7",coding!$I146)),1,0))</f>
        <v>0</v>
      </c>
      <c r="L146" s="1" t="n">
        <f aca="false">IF(coding!$I146="",0,IF(ISNUMBER(SEARCH("T8",coding!$I146)),1,0))</f>
        <v>0</v>
      </c>
      <c r="M146" s="1" t="n">
        <f aca="false">IF(coding!$I146="",0,IF(ISNUMBER(SEARCH("T9",coding!$I146)),1,0))</f>
        <v>0</v>
      </c>
      <c r="N146" s="1" t="n">
        <f aca="false">IF(coding!$J146="",0,IF(ISNUMBER(SEARCH("T1",coding!$J146)),1,0))</f>
        <v>0</v>
      </c>
      <c r="O146" s="1" t="n">
        <f aca="false">IF(coding!$J146="",0,IF(ISNUMBER(SEARCH("T2",coding!$J146)),1,0))</f>
        <v>0</v>
      </c>
      <c r="P146" s="1" t="n">
        <f aca="false">IF(coding!$J146="",0,IF(ISNUMBER(SEARCH("T3",coding!$J146)),1,0))</f>
        <v>0</v>
      </c>
      <c r="Q146" s="1" t="n">
        <f aca="false">IF(coding!$J146="",0,IF(ISNUMBER(SEARCH("T4",coding!$J146)),1,0))</f>
        <v>0</v>
      </c>
      <c r="R146" s="1" t="n">
        <f aca="false">IF(coding!$J146="",0,IF(ISNUMBER(SEARCH("T5",coding!$J146)),1,0))</f>
        <v>0</v>
      </c>
      <c r="S146" s="1" t="n">
        <f aca="false">IF(coding!$J146="",0,IF(ISNUMBER(SEARCH("T6",coding!$J146)),1,0))</f>
        <v>0</v>
      </c>
      <c r="T146" s="1" t="n">
        <f aca="false">IF(coding!$J146="",0,IF(ISNUMBER(SEARCH("T7",coding!$J146)),1,0))</f>
        <v>0</v>
      </c>
      <c r="U146" s="1" t="n">
        <f aca="false">IF(coding!$J146="",0,IF(ISNUMBER(SEARCH("T8",coding!$J146)),1,0))</f>
        <v>0</v>
      </c>
      <c r="V146" s="1" t="n">
        <f aca="false">IF(coding!$J146="",0,IF(ISNUMBER(SEARCH("T9",coding!$J146)),1,0))</f>
        <v>0</v>
      </c>
      <c r="W146" s="1" t="n">
        <f aca="false">IF(coding!$O146="",0,IF(ISNUMBER(SEARCH("T1",coding!$O146)),1,0))</f>
        <v>1</v>
      </c>
      <c r="X146" s="1" t="n">
        <f aca="false">IF(coding!$O146="",0,IF(ISNUMBER(SEARCH("T2",coding!$O146)),1,0))</f>
        <v>1</v>
      </c>
      <c r="Y146" s="1" t="n">
        <f aca="false">IF(coding!$O146="",0,IF(ISNUMBER(SEARCH("T3",coding!$O146)),1,0))</f>
        <v>0</v>
      </c>
      <c r="Z146" s="1" t="n">
        <f aca="false">IF(coding!$O146="",0,IF(ISNUMBER(SEARCH("T4",coding!$O146)),1,0))</f>
        <v>0</v>
      </c>
      <c r="AA146" s="1" t="n">
        <f aca="false">IF(coding!$O146="",0,IF(ISNUMBER(SEARCH("T5",coding!$O146)),1,0))</f>
        <v>0</v>
      </c>
      <c r="AB146" s="1" t="n">
        <f aca="false">IF(coding!$O146="",0,IF(ISNUMBER(SEARCH("T6",coding!$O146)),1,0))</f>
        <v>0</v>
      </c>
      <c r="AC146" s="1" t="n">
        <f aca="false">IF(coding!$O146="",0,IF(ISNUMBER(SEARCH("T7",coding!$O146)),1,0))</f>
        <v>0</v>
      </c>
      <c r="AD146" s="1" t="n">
        <f aca="false">IF(coding!$O146="",0,IF(ISNUMBER(SEARCH("T8",coding!$O146)),1,0))</f>
        <v>0</v>
      </c>
      <c r="AE146" s="1" t="n">
        <f aca="false">IF(coding!$O146="",0,IF(ISNUMBER(SEARCH("T9",coding!$O146)),1,0))</f>
        <v>0</v>
      </c>
      <c r="AF146" s="1" t="n">
        <f aca="false">SUMPRODUCT($E146:$M146,$N146:$V146)</f>
        <v>0</v>
      </c>
      <c r="AG146" s="1" t="n">
        <f aca="false">SUMPRODUCT(--(($E146:$M146+$N146:$V146)&gt;0))</f>
        <v>0</v>
      </c>
      <c r="AH146" s="1" t="str">
        <f aca="false">IF(AND($B146=1,$C146=1),IF($AG146=0,1,$AF146/$AG146),"")</f>
        <v/>
      </c>
      <c r="AI146" s="1" t="str">
        <f aca="false">IF(AND($B146=1,$C146=1),IF(coding!$I146=coding!$J146,1,0),"")</f>
        <v/>
      </c>
      <c r="AJ146" s="1" t="str">
        <f aca="false">IF($B146=1,IF(SUMPRODUCT(--(($E146:$M146+$W146:$AE146)&gt;0))=0,1,SUMPRODUCT($E146:$M146,$W146:$AE146)/SUMPRODUCT(--(($E146:$M146+$W146:$AE146)&gt;0))),"")</f>
        <v/>
      </c>
      <c r="AK146" s="1" t="str">
        <f aca="false">IF($C146=1,IF(SUMPRODUCT(--(($N146:$V146+$W146:$AE146)&gt;0))=0,1,SUMPRODUCT($N146:$V146,$W146:$AE146)/SUMPRODUCT(--(($N146:$V146+$W146:$AE146)&gt;0))),"")</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88"/>
  </cols>
  <sheetData>
    <row r="1" customFormat="false" ht="15" hidden="false" customHeight="true" outlineLevel="0" collapsed="false">
      <c r="A1" s="22" t="s">
        <v>828</v>
      </c>
    </row>
    <row r="3" customFormat="false" ht="30" hidden="false" customHeight="true" outlineLevel="0" collapsed="false">
      <c r="A3" s="36" t="s">
        <v>829</v>
      </c>
      <c r="B3" s="15" t="s">
        <v>830</v>
      </c>
    </row>
    <row r="4" customFormat="false" ht="30" hidden="false" customHeight="true" outlineLevel="0" collapsed="false">
      <c r="A4" s="36" t="s">
        <v>831</v>
      </c>
      <c r="B4" s="15" t="s">
        <v>832</v>
      </c>
    </row>
    <row r="5" customFormat="false" ht="30" hidden="false" customHeight="true" outlineLevel="0" collapsed="false">
      <c r="A5" s="36" t="s">
        <v>833</v>
      </c>
      <c r="B5" s="15" t="s">
        <v>834</v>
      </c>
    </row>
    <row r="6" customFormat="false" ht="30" hidden="false" customHeight="true" outlineLevel="0" collapsed="false">
      <c r="A6" s="36" t="s">
        <v>835</v>
      </c>
      <c r="B6" s="15" t="s">
        <v>836</v>
      </c>
    </row>
    <row r="7" customFormat="false" ht="30" hidden="false" customHeight="true" outlineLevel="0" collapsed="false">
      <c r="A7" s="36" t="s">
        <v>837</v>
      </c>
      <c r="B7" s="15" t="s">
        <v>838</v>
      </c>
    </row>
    <row r="8" customFormat="false" ht="30" hidden="false" customHeight="true" outlineLevel="0" collapsed="false">
      <c r="A8" s="36" t="s">
        <v>839</v>
      </c>
      <c r="B8" s="15" t="s">
        <v>840</v>
      </c>
    </row>
    <row r="9" customFormat="false" ht="30" hidden="false" customHeight="true" outlineLevel="0" collapsed="false">
      <c r="A9" s="36" t="s">
        <v>841</v>
      </c>
      <c r="B9" s="15" t="s">
        <v>842</v>
      </c>
    </row>
    <row r="10" customFormat="false" ht="30" hidden="false" customHeight="true" outlineLevel="0" collapsed="false">
      <c r="A10" s="36" t="s">
        <v>843</v>
      </c>
      <c r="B10" s="15" t="s">
        <v>844</v>
      </c>
    </row>
    <row r="11" customFormat="false" ht="30" hidden="false" customHeight="true" outlineLevel="0" collapsed="false">
      <c r="A11" s="36" t="s">
        <v>845</v>
      </c>
      <c r="B11" s="15" t="s">
        <v>846</v>
      </c>
    </row>
    <row r="12" customFormat="false" ht="30" hidden="false" customHeight="true" outlineLevel="0" collapsed="false">
      <c r="A12" s="36" t="s">
        <v>847</v>
      </c>
      <c r="B12" s="15" t="s">
        <v>848</v>
      </c>
    </row>
    <row r="13" customFormat="false" ht="30" hidden="false" customHeight="true" outlineLevel="0" collapsed="false">
      <c r="A13" s="36" t="s">
        <v>849</v>
      </c>
      <c r="B13" s="15" t="s">
        <v>850</v>
      </c>
    </row>
    <row r="14" customFormat="false" ht="30" hidden="false" customHeight="true" outlineLevel="0" collapsed="false">
      <c r="A14" s="36" t="s">
        <v>851</v>
      </c>
      <c r="B14" s="15" t="s">
        <v>852</v>
      </c>
    </row>
    <row r="15" customFormat="false" ht="30" hidden="false" customHeight="true" outlineLevel="0" collapsed="false">
      <c r="A15" s="36" t="s">
        <v>853</v>
      </c>
      <c r="B15" s="15" t="s">
        <v>854</v>
      </c>
    </row>
    <row r="16" customFormat="false" ht="30" hidden="false" customHeight="true" outlineLevel="0" collapsed="false">
      <c r="A16" s="36" t="s">
        <v>855</v>
      </c>
      <c r="B16" s="15" t="s">
        <v>856</v>
      </c>
    </row>
    <row r="18" customFormat="false" ht="15" hidden="false" customHeight="false" outlineLevel="0" collapsed="false">
      <c r="A18" s="11" t="s">
        <v>857</v>
      </c>
    </row>
    <row r="19" customFormat="false" ht="30" hidden="false" customHeight="true" outlineLevel="0" collapsed="false">
      <c r="A19" s="36" t="s">
        <v>858</v>
      </c>
      <c r="B19" s="15" t="s">
        <v>859</v>
      </c>
    </row>
    <row r="20" customFormat="false" ht="30" hidden="false" customHeight="true" outlineLevel="0" collapsed="false">
      <c r="A20" s="36" t="s">
        <v>860</v>
      </c>
      <c r="B20" s="15" t="s">
        <v>861</v>
      </c>
    </row>
    <row r="21" customFormat="false" ht="30" hidden="false" customHeight="true" outlineLevel="0" collapsed="false">
      <c r="A21" s="36" t="s">
        <v>862</v>
      </c>
      <c r="B21" s="15" t="s">
        <v>863</v>
      </c>
    </row>
    <row r="22" customFormat="false" ht="30" hidden="false" customHeight="true" outlineLevel="0" collapsed="false">
      <c r="A22" s="36" t="s">
        <v>864</v>
      </c>
      <c r="B22" s="15" t="s">
        <v>865</v>
      </c>
    </row>
    <row r="23" customFormat="false" ht="30" hidden="false" customHeight="true" outlineLevel="0" collapsed="false">
      <c r="A23" s="36" t="s">
        <v>866</v>
      </c>
      <c r="B23" s="15" t="s">
        <v>867</v>
      </c>
    </row>
    <row r="24" customFormat="false" ht="30" hidden="false" customHeight="true" outlineLevel="0" collapsed="false">
      <c r="A24" s="36" t="s">
        <v>839</v>
      </c>
      <c r="B24" s="15" t="s">
        <v>868</v>
      </c>
    </row>
    <row r="25" customFormat="false" ht="30" hidden="false" customHeight="true" outlineLevel="0" collapsed="false">
      <c r="A25" s="36" t="s">
        <v>869</v>
      </c>
      <c r="B25" s="15" t="s">
        <v>870</v>
      </c>
    </row>
    <row r="26" customFormat="false" ht="30" hidden="false" customHeight="true" outlineLevel="0" collapsed="false">
      <c r="A26" s="36" t="s">
        <v>871</v>
      </c>
      <c r="B26" s="15" t="s">
        <v>872</v>
      </c>
    </row>
    <row r="27" customFormat="false" ht="30" hidden="false" customHeight="true" outlineLevel="0" collapsed="false">
      <c r="A27" s="36" t="s">
        <v>873</v>
      </c>
      <c r="B27" s="15" t="s">
        <v>874</v>
      </c>
    </row>
    <row r="28" customFormat="false" ht="30" hidden="false" customHeight="true" outlineLevel="0" collapsed="false">
      <c r="A28" s="36" t="s">
        <v>875</v>
      </c>
      <c r="B28" s="15" t="s">
        <v>876</v>
      </c>
    </row>
    <row r="29" customFormat="false" ht="30" hidden="false" customHeight="true" outlineLevel="0" collapsed="false">
      <c r="A29" s="36" t="s">
        <v>877</v>
      </c>
      <c r="B29" s="15" t="s">
        <v>878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5"/>
  </cols>
  <sheetData>
    <row r="1" customFormat="false" ht="15" hidden="false" customHeight="false" outlineLevel="0" collapsed="false">
      <c r="A1" s="37" t="s">
        <v>0</v>
      </c>
      <c r="B1" s="37" t="s">
        <v>879</v>
      </c>
      <c r="C1" s="37" t="s">
        <v>880</v>
      </c>
      <c r="D1" s="37" t="s">
        <v>881</v>
      </c>
      <c r="E1" s="37" t="s">
        <v>882</v>
      </c>
      <c r="F1" s="37" t="s">
        <v>883</v>
      </c>
      <c r="G1" s="37" t="s">
        <v>884</v>
      </c>
      <c r="H1" s="37" t="s">
        <v>885</v>
      </c>
      <c r="I1" s="37" t="s">
        <v>886</v>
      </c>
      <c r="J1" s="37" t="s">
        <v>887</v>
      </c>
      <c r="K1" s="37" t="s">
        <v>888</v>
      </c>
      <c r="L1" s="37" t="s">
        <v>889</v>
      </c>
      <c r="M1" s="37" t="s">
        <v>890</v>
      </c>
      <c r="N1" s="37" t="s">
        <v>891</v>
      </c>
      <c r="O1" s="37" t="s">
        <v>892</v>
      </c>
      <c r="P1" s="37" t="s">
        <v>893</v>
      </c>
    </row>
    <row r="2" customFormat="false" ht="15" hidden="false" customHeight="false" outlineLevel="0" collapsed="false">
      <c r="A2" s="1" t="s">
        <v>18</v>
      </c>
      <c r="B2" s="1" t="s">
        <v>20</v>
      </c>
      <c r="C2" s="1" t="s">
        <v>22</v>
      </c>
      <c r="D2" s="1" t="s">
        <v>894</v>
      </c>
      <c r="E2" s="1" t="s">
        <v>20</v>
      </c>
      <c r="F2" s="1" t="s">
        <v>22</v>
      </c>
      <c r="G2" s="1" t="s">
        <v>895</v>
      </c>
      <c r="H2" s="1" t="n">
        <v>1</v>
      </c>
      <c r="I2" s="1" t="n">
        <v>1</v>
      </c>
      <c r="J2" s="1" t="n">
        <v>0</v>
      </c>
      <c r="O2" s="1" t="s">
        <v>20</v>
      </c>
      <c r="P2" s="1" t="s">
        <v>22</v>
      </c>
    </row>
    <row r="3" customFormat="false" ht="15" hidden="false" customHeight="false" outlineLevel="0" collapsed="false">
      <c r="A3" s="1" t="s">
        <v>24</v>
      </c>
      <c r="B3" s="1" t="s">
        <v>20</v>
      </c>
      <c r="C3" s="1" t="s">
        <v>29</v>
      </c>
      <c r="D3" s="1" t="s">
        <v>896</v>
      </c>
      <c r="E3" s="1" t="s">
        <v>20</v>
      </c>
      <c r="F3" s="1" t="s">
        <v>29</v>
      </c>
      <c r="G3" s="1" t="s">
        <v>897</v>
      </c>
      <c r="H3" s="1" t="n">
        <v>1</v>
      </c>
      <c r="I3" s="1" t="n">
        <v>1</v>
      </c>
      <c r="J3" s="1" t="n">
        <v>0</v>
      </c>
      <c r="O3" s="1" t="s">
        <v>20</v>
      </c>
      <c r="P3" s="1" t="s">
        <v>29</v>
      </c>
    </row>
    <row r="4" customFormat="false" ht="15" hidden="false" customHeight="false" outlineLevel="0" collapsed="false">
      <c r="A4" s="1" t="s">
        <v>30</v>
      </c>
      <c r="B4" s="1" t="s">
        <v>20</v>
      </c>
      <c r="C4" s="1" t="s">
        <v>33</v>
      </c>
      <c r="D4" s="1" t="s">
        <v>898</v>
      </c>
      <c r="E4" s="1" t="s">
        <v>20</v>
      </c>
      <c r="F4" s="1" t="s">
        <v>33</v>
      </c>
      <c r="G4" s="1" t="s">
        <v>899</v>
      </c>
      <c r="H4" s="1" t="n">
        <v>1</v>
      </c>
      <c r="I4" s="1" t="n">
        <v>1</v>
      </c>
      <c r="J4" s="1" t="n">
        <v>0</v>
      </c>
      <c r="O4" s="1" t="s">
        <v>20</v>
      </c>
      <c r="P4" s="1" t="s">
        <v>33</v>
      </c>
    </row>
    <row r="5" customFormat="false" ht="15" hidden="false" customHeight="false" outlineLevel="0" collapsed="false">
      <c r="A5" s="1" t="s">
        <v>34</v>
      </c>
      <c r="B5" s="1" t="s">
        <v>26</v>
      </c>
      <c r="C5" s="1" t="s">
        <v>29</v>
      </c>
      <c r="D5" s="38" t="s">
        <v>900</v>
      </c>
      <c r="E5" s="1" t="s">
        <v>26</v>
      </c>
      <c r="F5" s="1" t="s">
        <v>500</v>
      </c>
      <c r="G5" s="1" t="s">
        <v>901</v>
      </c>
      <c r="H5" s="1" t="n">
        <v>1</v>
      </c>
      <c r="I5" s="1" t="n">
        <v>0</v>
      </c>
      <c r="J5" s="1" t="n">
        <v>1</v>
      </c>
      <c r="K5" s="1" t="s">
        <v>26</v>
      </c>
      <c r="L5" s="1" t="s">
        <v>500</v>
      </c>
      <c r="M5" s="1" t="s">
        <v>902</v>
      </c>
      <c r="N5" s="1" t="s">
        <v>903</v>
      </c>
      <c r="O5" s="1" t="s">
        <v>26</v>
      </c>
      <c r="P5" s="1" t="s">
        <v>500</v>
      </c>
    </row>
    <row r="6" customFormat="false" ht="15" hidden="false" customHeight="false" outlineLevel="0" collapsed="false">
      <c r="A6" s="1" t="s">
        <v>37</v>
      </c>
      <c r="B6" s="1" t="s">
        <v>20</v>
      </c>
      <c r="C6" s="1" t="s">
        <v>40</v>
      </c>
      <c r="D6" s="1" t="s">
        <v>904</v>
      </c>
      <c r="E6" s="1" t="s">
        <v>20</v>
      </c>
      <c r="F6" s="1" t="s">
        <v>40</v>
      </c>
      <c r="G6" s="1" t="s">
        <v>905</v>
      </c>
      <c r="H6" s="1" t="n">
        <v>1</v>
      </c>
      <c r="I6" s="1" t="n">
        <v>1</v>
      </c>
      <c r="J6" s="1" t="n">
        <v>0</v>
      </c>
      <c r="O6" s="1" t="s">
        <v>20</v>
      </c>
      <c r="P6" s="1" t="s">
        <v>40</v>
      </c>
    </row>
    <row r="7" customFormat="false" ht="15" hidden="false" customHeight="false" outlineLevel="0" collapsed="false">
      <c r="A7" s="1" t="s">
        <v>43</v>
      </c>
      <c r="B7" s="1" t="s">
        <v>27</v>
      </c>
      <c r="C7" s="1" t="s">
        <v>46</v>
      </c>
      <c r="D7" s="1" t="s">
        <v>906</v>
      </c>
      <c r="E7" s="1" t="s">
        <v>27</v>
      </c>
      <c r="F7" s="1" t="s">
        <v>46</v>
      </c>
      <c r="G7" s="1" t="s">
        <v>907</v>
      </c>
      <c r="H7" s="1" t="n">
        <v>1</v>
      </c>
      <c r="I7" s="1" t="n">
        <v>1</v>
      </c>
      <c r="J7" s="1" t="n">
        <v>0</v>
      </c>
      <c r="O7" s="1" t="s">
        <v>27</v>
      </c>
      <c r="P7" s="1" t="s">
        <v>46</v>
      </c>
    </row>
    <row r="8" customFormat="false" ht="15" hidden="false" customHeight="false" outlineLevel="0" collapsed="false">
      <c r="A8" s="37" t="s">
        <v>47</v>
      </c>
      <c r="B8" s="1" t="s">
        <v>31</v>
      </c>
      <c r="C8" s="1" t="s">
        <v>40</v>
      </c>
      <c r="D8" s="1" t="s">
        <v>908</v>
      </c>
      <c r="E8" s="1" t="s">
        <v>31</v>
      </c>
      <c r="F8" s="1" t="s">
        <v>214</v>
      </c>
      <c r="G8" s="1" t="s">
        <v>909</v>
      </c>
      <c r="H8" s="1" t="n">
        <v>1</v>
      </c>
      <c r="I8" s="1" t="n">
        <v>0</v>
      </c>
      <c r="J8" s="1" t="n">
        <v>1</v>
      </c>
      <c r="K8" s="1" t="s">
        <v>31</v>
      </c>
      <c r="L8" s="1" t="s">
        <v>214</v>
      </c>
      <c r="M8" s="1" t="s">
        <v>910</v>
      </c>
      <c r="N8" s="1" t="s">
        <v>903</v>
      </c>
      <c r="O8" s="1" t="s">
        <v>31</v>
      </c>
      <c r="P8" s="1" t="s">
        <v>214</v>
      </c>
    </row>
    <row r="9" customFormat="false" ht="15" hidden="false" customHeight="false" outlineLevel="0" collapsed="false">
      <c r="A9" s="39" t="s">
        <v>51</v>
      </c>
      <c r="B9" s="1" t="s">
        <v>31</v>
      </c>
      <c r="C9" s="1" t="s">
        <v>46</v>
      </c>
      <c r="D9" s="1" t="s">
        <v>911</v>
      </c>
      <c r="E9" s="1" t="s">
        <v>31</v>
      </c>
      <c r="F9" s="1" t="s">
        <v>166</v>
      </c>
      <c r="G9" s="1" t="s">
        <v>912</v>
      </c>
      <c r="H9" s="1" t="n">
        <v>1</v>
      </c>
      <c r="I9" s="1" t="n">
        <v>0</v>
      </c>
      <c r="J9" s="1" t="n">
        <v>1</v>
      </c>
      <c r="K9" s="1" t="s">
        <v>31</v>
      </c>
      <c r="L9" s="1" t="s">
        <v>46</v>
      </c>
      <c r="M9" s="1" t="s">
        <v>913</v>
      </c>
      <c r="N9" s="1" t="s">
        <v>914</v>
      </c>
      <c r="O9" s="1" t="s">
        <v>31</v>
      </c>
      <c r="P9" s="1" t="s">
        <v>46</v>
      </c>
    </row>
    <row r="10" customFormat="false" ht="15" hidden="false" customHeight="false" outlineLevel="0" collapsed="false">
      <c r="A10" s="39" t="s">
        <v>55</v>
      </c>
      <c r="B10" s="1" t="s">
        <v>26</v>
      </c>
      <c r="C10" s="1" t="s">
        <v>58</v>
      </c>
      <c r="D10" s="1" t="s">
        <v>915</v>
      </c>
      <c r="E10" s="1" t="s">
        <v>26</v>
      </c>
      <c r="F10" s="1" t="s">
        <v>58</v>
      </c>
      <c r="G10" s="1" t="s">
        <v>916</v>
      </c>
      <c r="H10" s="1" t="n">
        <v>1</v>
      </c>
      <c r="I10" s="1" t="n">
        <v>1</v>
      </c>
      <c r="J10" s="1" t="n">
        <v>0</v>
      </c>
      <c r="O10" s="1" t="s">
        <v>26</v>
      </c>
      <c r="P10" s="1" t="s">
        <v>58</v>
      </c>
    </row>
    <row r="11" customFormat="false" ht="15" hidden="false" customHeight="false" outlineLevel="0" collapsed="false">
      <c r="A11" s="39" t="s">
        <v>61</v>
      </c>
      <c r="B11" s="1" t="s">
        <v>27</v>
      </c>
      <c r="C11" s="1" t="s">
        <v>64</v>
      </c>
      <c r="D11" s="38" t="s">
        <v>917</v>
      </c>
      <c r="E11" s="1" t="s">
        <v>27</v>
      </c>
      <c r="F11" s="1" t="s">
        <v>64</v>
      </c>
      <c r="G11" s="1" t="s">
        <v>918</v>
      </c>
      <c r="H11" s="1" t="n">
        <v>1</v>
      </c>
      <c r="I11" s="1" t="n">
        <v>1</v>
      </c>
      <c r="J11" s="1" t="n">
        <v>0</v>
      </c>
      <c r="O11" s="1" t="s">
        <v>27</v>
      </c>
      <c r="P11" s="1" t="s">
        <v>64</v>
      </c>
    </row>
    <row r="12" customFormat="false" ht="15" hidden="false" customHeight="false" outlineLevel="0" collapsed="false">
      <c r="A12" s="39" t="s">
        <v>65</v>
      </c>
      <c r="B12" s="1" t="s">
        <v>27</v>
      </c>
      <c r="C12" s="1" t="s">
        <v>68</v>
      </c>
      <c r="D12" s="1" t="s">
        <v>919</v>
      </c>
      <c r="E12" s="1" t="s">
        <v>27</v>
      </c>
      <c r="F12" s="1" t="s">
        <v>68</v>
      </c>
      <c r="G12" s="1" t="s">
        <v>920</v>
      </c>
      <c r="H12" s="1" t="n">
        <v>1</v>
      </c>
      <c r="I12" s="1" t="n">
        <v>1</v>
      </c>
      <c r="J12" s="1" t="n">
        <v>0</v>
      </c>
      <c r="O12" s="1" t="s">
        <v>27</v>
      </c>
      <c r="P12" s="1" t="s">
        <v>68</v>
      </c>
    </row>
    <row r="13" customFormat="false" ht="15" hidden="false" customHeight="false" outlineLevel="0" collapsed="false">
      <c r="A13" s="39" t="s">
        <v>69</v>
      </c>
      <c r="B13" s="1" t="s">
        <v>26</v>
      </c>
      <c r="C13" s="1" t="s">
        <v>46</v>
      </c>
      <c r="D13" s="1" t="s">
        <v>921</v>
      </c>
      <c r="E13" s="1" t="s">
        <v>26</v>
      </c>
      <c r="F13" s="1" t="s">
        <v>46</v>
      </c>
      <c r="G13" s="1" t="s">
        <v>922</v>
      </c>
      <c r="H13" s="1" t="n">
        <v>1</v>
      </c>
      <c r="I13" s="1" t="n">
        <v>1</v>
      </c>
      <c r="J13" s="1" t="n">
        <v>0</v>
      </c>
      <c r="O13" s="1" t="s">
        <v>26</v>
      </c>
      <c r="P13" s="1" t="s">
        <v>46</v>
      </c>
    </row>
    <row r="14" customFormat="false" ht="15" hidden="false" customHeight="false" outlineLevel="0" collapsed="false">
      <c r="A14" s="39" t="s">
        <v>72</v>
      </c>
      <c r="B14" s="1" t="s">
        <v>27</v>
      </c>
      <c r="C14" s="1" t="s">
        <v>22</v>
      </c>
      <c r="D14" s="1" t="s">
        <v>923</v>
      </c>
      <c r="E14" s="1" t="s">
        <v>27</v>
      </c>
      <c r="F14" s="1" t="s">
        <v>22</v>
      </c>
      <c r="G14" s="1" t="s">
        <v>924</v>
      </c>
      <c r="H14" s="1" t="n">
        <v>1</v>
      </c>
      <c r="I14" s="1" t="n">
        <v>1</v>
      </c>
      <c r="J14" s="1" t="n">
        <v>0</v>
      </c>
      <c r="O14" s="1" t="s">
        <v>27</v>
      </c>
      <c r="P14" s="1" t="s">
        <v>22</v>
      </c>
    </row>
    <row r="15" customFormat="false" ht="15" hidden="false" customHeight="false" outlineLevel="0" collapsed="false">
      <c r="A15" s="39" t="s">
        <v>75</v>
      </c>
      <c r="B15" s="1" t="s">
        <v>26</v>
      </c>
      <c r="C15" s="1" t="s">
        <v>78</v>
      </c>
      <c r="D15" s="1" t="s">
        <v>925</v>
      </c>
      <c r="E15" s="1" t="s">
        <v>26</v>
      </c>
      <c r="F15" s="1" t="s">
        <v>78</v>
      </c>
      <c r="G15" s="1" t="s">
        <v>926</v>
      </c>
      <c r="H15" s="1" t="n">
        <v>1</v>
      </c>
      <c r="I15" s="1" t="n">
        <v>1</v>
      </c>
      <c r="J15" s="1" t="n">
        <v>0</v>
      </c>
      <c r="O15" s="1" t="s">
        <v>26</v>
      </c>
      <c r="P15" s="1" t="s">
        <v>78</v>
      </c>
    </row>
    <row r="16" customFormat="false" ht="15" hidden="false" customHeight="false" outlineLevel="0" collapsed="false">
      <c r="A16" s="39" t="s">
        <v>80</v>
      </c>
      <c r="B16" s="1" t="s">
        <v>26</v>
      </c>
      <c r="C16" s="1" t="s">
        <v>83</v>
      </c>
      <c r="D16" s="1" t="s">
        <v>927</v>
      </c>
      <c r="E16" s="1" t="s">
        <v>26</v>
      </c>
      <c r="F16" s="1" t="s">
        <v>83</v>
      </c>
      <c r="G16" s="1" t="s">
        <v>928</v>
      </c>
      <c r="H16" s="1" t="n">
        <v>1</v>
      </c>
      <c r="I16" s="1" t="n">
        <v>1</v>
      </c>
      <c r="J16" s="1" t="n">
        <v>0</v>
      </c>
      <c r="O16" s="1" t="s">
        <v>26</v>
      </c>
      <c r="P16" s="1" t="s">
        <v>83</v>
      </c>
    </row>
    <row r="17" customFormat="false" ht="15" hidden="false" customHeight="false" outlineLevel="0" collapsed="false">
      <c r="A17" s="39" t="s">
        <v>84</v>
      </c>
      <c r="B17" s="1" t="s">
        <v>26</v>
      </c>
      <c r="C17" s="1" t="s">
        <v>300</v>
      </c>
      <c r="D17" s="1" t="s">
        <v>929</v>
      </c>
      <c r="E17" s="1" t="s">
        <v>26</v>
      </c>
      <c r="F17" s="1" t="s">
        <v>87</v>
      </c>
      <c r="G17" s="1" t="s">
        <v>930</v>
      </c>
      <c r="H17" s="1" t="n">
        <v>1</v>
      </c>
      <c r="I17" s="1" t="n">
        <v>0</v>
      </c>
      <c r="J17" s="1" t="n">
        <v>1</v>
      </c>
      <c r="K17" s="1" t="s">
        <v>26</v>
      </c>
      <c r="L17" s="1" t="s">
        <v>300</v>
      </c>
      <c r="M17" s="1" t="s">
        <v>931</v>
      </c>
      <c r="N17" s="1" t="s">
        <v>903</v>
      </c>
      <c r="O17" s="1" t="s">
        <v>26</v>
      </c>
      <c r="P17" s="1" t="s">
        <v>300</v>
      </c>
    </row>
    <row r="18" customFormat="false" ht="15" hidden="false" customHeight="false" outlineLevel="0" collapsed="false">
      <c r="A18" s="39" t="s">
        <v>90</v>
      </c>
      <c r="B18" s="1" t="s">
        <v>27</v>
      </c>
      <c r="C18" s="1" t="s">
        <v>93</v>
      </c>
      <c r="D18" s="1" t="s">
        <v>932</v>
      </c>
      <c r="E18" s="1" t="s">
        <v>27</v>
      </c>
      <c r="F18" s="1" t="s">
        <v>93</v>
      </c>
      <c r="G18" s="1" t="s">
        <v>933</v>
      </c>
      <c r="H18" s="1" t="n">
        <v>1</v>
      </c>
      <c r="I18" s="1" t="n">
        <v>1</v>
      </c>
      <c r="J18" s="1" t="n">
        <v>0</v>
      </c>
      <c r="O18" s="1" t="s">
        <v>27</v>
      </c>
      <c r="P18" s="1" t="s">
        <v>93</v>
      </c>
    </row>
    <row r="19" customFormat="false" ht="15" hidden="false" customHeight="false" outlineLevel="0" collapsed="false">
      <c r="A19" s="39" t="s">
        <v>95</v>
      </c>
      <c r="B19" s="1" t="s">
        <v>26</v>
      </c>
      <c r="C19" s="1" t="s">
        <v>29</v>
      </c>
      <c r="D19" s="1" t="s">
        <v>934</v>
      </c>
      <c r="E19" s="1" t="s">
        <v>26</v>
      </c>
      <c r="F19" s="1" t="s">
        <v>29</v>
      </c>
      <c r="G19" s="1" t="s">
        <v>935</v>
      </c>
      <c r="H19" s="1" t="n">
        <v>1</v>
      </c>
      <c r="I19" s="1" t="n">
        <v>1</v>
      </c>
      <c r="J19" s="1" t="n">
        <v>0</v>
      </c>
      <c r="O19" s="1" t="s">
        <v>26</v>
      </c>
      <c r="P19" s="1" t="s">
        <v>29</v>
      </c>
    </row>
    <row r="20" customFormat="false" ht="15" hidden="false" customHeight="false" outlineLevel="0" collapsed="false">
      <c r="A20" s="39" t="s">
        <v>98</v>
      </c>
      <c r="B20" s="1" t="s">
        <v>26</v>
      </c>
      <c r="C20" s="1" t="s">
        <v>22</v>
      </c>
      <c r="D20" s="38" t="s">
        <v>936</v>
      </c>
      <c r="E20" s="1" t="s">
        <v>26</v>
      </c>
      <c r="F20" s="1" t="s">
        <v>78</v>
      </c>
      <c r="G20" s="1" t="s">
        <v>937</v>
      </c>
      <c r="H20" s="1" t="n">
        <v>1</v>
      </c>
      <c r="I20" s="1" t="n">
        <v>0</v>
      </c>
      <c r="J20" s="1" t="n">
        <v>1</v>
      </c>
      <c r="K20" s="1" t="s">
        <v>26</v>
      </c>
      <c r="L20" s="1" t="s">
        <v>78</v>
      </c>
      <c r="M20" s="1" t="s">
        <v>938</v>
      </c>
      <c r="N20" s="1" t="s">
        <v>903</v>
      </c>
      <c r="O20" s="1" t="s">
        <v>26</v>
      </c>
      <c r="P20" s="1" t="s">
        <v>78</v>
      </c>
    </row>
    <row r="21" customFormat="false" ht="15" hidden="false" customHeight="false" outlineLevel="0" collapsed="false">
      <c r="A21" s="1" t="s">
        <v>101</v>
      </c>
      <c r="B21" s="1" t="s">
        <v>27</v>
      </c>
      <c r="C21" s="1" t="s">
        <v>40</v>
      </c>
      <c r="D21" s="1" t="s">
        <v>939</v>
      </c>
      <c r="E21" s="1" t="s">
        <v>27</v>
      </c>
      <c r="F21" s="1" t="s">
        <v>40</v>
      </c>
      <c r="G21" s="1" t="s">
        <v>940</v>
      </c>
      <c r="H21" s="1" t="n">
        <v>1</v>
      </c>
      <c r="I21" s="1" t="n">
        <v>1</v>
      </c>
      <c r="J21" s="1" t="n">
        <v>0</v>
      </c>
      <c r="O21" s="1" t="s">
        <v>27</v>
      </c>
      <c r="P21" s="1" t="s">
        <v>40</v>
      </c>
    </row>
    <row r="22" customFormat="false" ht="15" hidden="false" customHeight="false" outlineLevel="0" collapsed="false">
      <c r="A22" s="1" t="s">
        <v>104</v>
      </c>
      <c r="B22" s="1" t="s">
        <v>26</v>
      </c>
      <c r="C22" s="1" t="s">
        <v>22</v>
      </c>
      <c r="D22" s="38" t="s">
        <v>941</v>
      </c>
      <c r="E22" s="1" t="s">
        <v>26</v>
      </c>
      <c r="F22" s="1" t="s">
        <v>22</v>
      </c>
      <c r="G22" s="1" t="s">
        <v>942</v>
      </c>
      <c r="H22" s="1" t="n">
        <v>1</v>
      </c>
      <c r="I22" s="1" t="n">
        <v>1</v>
      </c>
      <c r="J22" s="1" t="n">
        <v>0</v>
      </c>
      <c r="O22" s="1" t="s">
        <v>26</v>
      </c>
      <c r="P22" s="1" t="s">
        <v>22</v>
      </c>
    </row>
    <row r="23" customFormat="false" ht="15" hidden="false" customHeight="false" outlineLevel="0" collapsed="false">
      <c r="A23" s="1" t="s">
        <v>107</v>
      </c>
      <c r="B23" s="1" t="s">
        <v>26</v>
      </c>
      <c r="C23" s="1" t="s">
        <v>943</v>
      </c>
      <c r="D23" s="38" t="s">
        <v>944</v>
      </c>
      <c r="E23" s="1" t="s">
        <v>26</v>
      </c>
      <c r="F23" s="1" t="s">
        <v>943</v>
      </c>
      <c r="G23" s="1" t="s">
        <v>945</v>
      </c>
      <c r="H23" s="1" t="n">
        <v>1</v>
      </c>
      <c r="I23" s="1" t="n">
        <v>1</v>
      </c>
      <c r="J23" s="1" t="n">
        <v>0</v>
      </c>
      <c r="O23" s="1" t="s">
        <v>26</v>
      </c>
      <c r="P23" s="1" t="s">
        <v>943</v>
      </c>
    </row>
    <row r="24" customFormat="false" ht="15" hidden="false" customHeight="false" outlineLevel="0" collapsed="false">
      <c r="A24" s="1" t="s">
        <v>111</v>
      </c>
      <c r="B24" s="1" t="s">
        <v>26</v>
      </c>
      <c r="C24" s="1" t="s">
        <v>114</v>
      </c>
      <c r="D24" s="1" t="s">
        <v>946</v>
      </c>
      <c r="E24" s="1" t="s">
        <v>26</v>
      </c>
      <c r="F24" s="1" t="s">
        <v>114</v>
      </c>
      <c r="G24" s="1" t="s">
        <v>947</v>
      </c>
      <c r="H24" s="1" t="n">
        <v>1</v>
      </c>
      <c r="I24" s="1" t="n">
        <v>1</v>
      </c>
      <c r="J24" s="1" t="n">
        <v>0</v>
      </c>
      <c r="O24" s="1" t="s">
        <v>26</v>
      </c>
      <c r="P24" s="1" t="s">
        <v>114</v>
      </c>
    </row>
    <row r="25" customFormat="false" ht="15" hidden="false" customHeight="false" outlineLevel="0" collapsed="false">
      <c r="A25" s="1" t="s">
        <v>115</v>
      </c>
      <c r="B25" s="1" t="s">
        <v>26</v>
      </c>
      <c r="C25" s="1" t="s">
        <v>22</v>
      </c>
      <c r="D25" s="38" t="s">
        <v>948</v>
      </c>
      <c r="E25" s="1" t="s">
        <v>26</v>
      </c>
      <c r="F25" s="1" t="s">
        <v>22</v>
      </c>
      <c r="G25" s="1" t="s">
        <v>949</v>
      </c>
      <c r="H25" s="1" t="n">
        <v>1</v>
      </c>
      <c r="I25" s="1" t="n">
        <v>1</v>
      </c>
      <c r="J25" s="1" t="n">
        <v>0</v>
      </c>
      <c r="O25" s="1" t="s">
        <v>26</v>
      </c>
      <c r="P25" s="1" t="s">
        <v>22</v>
      </c>
    </row>
    <row r="26" customFormat="false" ht="15" hidden="false" customHeight="false" outlineLevel="0" collapsed="false">
      <c r="A26" s="1" t="s">
        <v>118</v>
      </c>
      <c r="B26" s="1" t="s">
        <v>26</v>
      </c>
      <c r="C26" s="1" t="s">
        <v>22</v>
      </c>
      <c r="D26" s="38" t="s">
        <v>950</v>
      </c>
      <c r="E26" s="1" t="s">
        <v>26</v>
      </c>
      <c r="F26" s="1" t="s">
        <v>22</v>
      </c>
      <c r="G26" s="1" t="s">
        <v>951</v>
      </c>
      <c r="H26" s="1" t="n">
        <v>1</v>
      </c>
      <c r="I26" s="1" t="n">
        <v>1</v>
      </c>
      <c r="J26" s="1" t="n">
        <v>0</v>
      </c>
      <c r="O26" s="1" t="s">
        <v>26</v>
      </c>
      <c r="P26" s="1" t="s">
        <v>22</v>
      </c>
    </row>
    <row r="27" customFormat="false" ht="15" hidden="false" customHeight="false" outlineLevel="0" collapsed="false">
      <c r="A27" s="1" t="s">
        <v>120</v>
      </c>
      <c r="B27" s="1" t="s">
        <v>26</v>
      </c>
      <c r="C27" s="1" t="s">
        <v>123</v>
      </c>
      <c r="D27" s="1" t="s">
        <v>952</v>
      </c>
      <c r="E27" s="1" t="s">
        <v>26</v>
      </c>
      <c r="F27" s="1" t="s">
        <v>123</v>
      </c>
      <c r="G27" s="1" t="s">
        <v>953</v>
      </c>
      <c r="H27" s="1" t="n">
        <v>1</v>
      </c>
      <c r="I27" s="1" t="n">
        <v>1</v>
      </c>
      <c r="J27" s="1" t="n">
        <v>0</v>
      </c>
      <c r="O27" s="1" t="s">
        <v>26</v>
      </c>
      <c r="P27" s="1" t="s">
        <v>123</v>
      </c>
    </row>
    <row r="28" customFormat="false" ht="15" hidden="false" customHeight="false" outlineLevel="0" collapsed="false">
      <c r="A28" s="1" t="s">
        <v>124</v>
      </c>
      <c r="B28" s="1" t="s">
        <v>20</v>
      </c>
      <c r="C28" s="1" t="s">
        <v>29</v>
      </c>
      <c r="D28" s="1" t="s">
        <v>954</v>
      </c>
      <c r="E28" s="1" t="s">
        <v>20</v>
      </c>
      <c r="F28" s="1" t="s">
        <v>29</v>
      </c>
      <c r="G28" s="1" t="s">
        <v>955</v>
      </c>
      <c r="H28" s="1" t="n">
        <v>1</v>
      </c>
      <c r="I28" s="1" t="n">
        <v>1</v>
      </c>
      <c r="J28" s="1" t="n">
        <v>0</v>
      </c>
      <c r="O28" s="1" t="s">
        <v>20</v>
      </c>
      <c r="P28" s="1" t="s">
        <v>29</v>
      </c>
    </row>
    <row r="29" customFormat="false" ht="15" hidden="false" customHeight="false" outlineLevel="0" collapsed="false">
      <c r="A29" s="1" t="s">
        <v>127</v>
      </c>
      <c r="B29" s="1" t="s">
        <v>26</v>
      </c>
      <c r="C29" s="1" t="s">
        <v>130</v>
      </c>
      <c r="D29" s="1" t="s">
        <v>956</v>
      </c>
      <c r="E29" s="1" t="s">
        <v>26</v>
      </c>
      <c r="F29" s="1" t="s">
        <v>130</v>
      </c>
      <c r="G29" s="1" t="s">
        <v>957</v>
      </c>
      <c r="H29" s="1" t="n">
        <v>1</v>
      </c>
      <c r="I29" s="1" t="n">
        <v>1</v>
      </c>
      <c r="J29" s="1" t="n">
        <v>0</v>
      </c>
      <c r="O29" s="1" t="s">
        <v>26</v>
      </c>
      <c r="P29" s="1" t="s">
        <v>130</v>
      </c>
    </row>
    <row r="30" customFormat="false" ht="15" hidden="false" customHeight="false" outlineLevel="0" collapsed="false">
      <c r="A30" s="1" t="s">
        <v>131</v>
      </c>
      <c r="D30" s="1"/>
      <c r="E30" s="1" t="s">
        <v>27</v>
      </c>
      <c r="F30" s="1" t="s">
        <v>40</v>
      </c>
      <c r="G30" s="1" t="s">
        <v>958</v>
      </c>
      <c r="H30" s="1" t="n">
        <v>0</v>
      </c>
      <c r="I30" s="1" t="n">
        <v>0</v>
      </c>
      <c r="J30" s="1" t="n">
        <v>0</v>
      </c>
    </row>
    <row r="31" customFormat="false" ht="15" hidden="false" customHeight="false" outlineLevel="0" collapsed="false">
      <c r="A31" s="1" t="s">
        <v>136</v>
      </c>
      <c r="B31" s="1" t="s">
        <v>27</v>
      </c>
      <c r="C31" s="1" t="s">
        <v>33</v>
      </c>
      <c r="D31" s="1" t="s">
        <v>959</v>
      </c>
      <c r="E31" s="1" t="s">
        <v>27</v>
      </c>
      <c r="F31" s="1" t="s">
        <v>33</v>
      </c>
      <c r="G31" s="1" t="s">
        <v>960</v>
      </c>
      <c r="H31" s="1" t="n">
        <v>1</v>
      </c>
      <c r="I31" s="1" t="n">
        <v>1</v>
      </c>
      <c r="J31" s="1" t="n">
        <v>0</v>
      </c>
      <c r="O31" s="1" t="s">
        <v>27</v>
      </c>
      <c r="P31" s="1" t="s">
        <v>33</v>
      </c>
    </row>
    <row r="32" customFormat="false" ht="15" hidden="false" customHeight="false" outlineLevel="0" collapsed="false">
      <c r="A32" s="1" t="s">
        <v>140</v>
      </c>
      <c r="B32" s="1" t="s">
        <v>26</v>
      </c>
      <c r="C32" s="1" t="s">
        <v>22</v>
      </c>
      <c r="D32" s="38" t="s">
        <v>961</v>
      </c>
      <c r="E32" s="1" t="s">
        <v>26</v>
      </c>
      <c r="F32" s="1" t="s">
        <v>22</v>
      </c>
      <c r="G32" s="1" t="s">
        <v>962</v>
      </c>
      <c r="H32" s="1" t="n">
        <v>1</v>
      </c>
      <c r="I32" s="1" t="n">
        <v>1</v>
      </c>
      <c r="J32" s="1" t="n">
        <v>0</v>
      </c>
      <c r="O32" s="1" t="s">
        <v>26</v>
      </c>
      <c r="P32" s="1" t="s">
        <v>22</v>
      </c>
    </row>
    <row r="33" customFormat="false" ht="15" hidden="false" customHeight="false" outlineLevel="0" collapsed="false">
      <c r="A33" s="1" t="s">
        <v>143</v>
      </c>
      <c r="B33" s="1" t="s">
        <v>27</v>
      </c>
      <c r="C33" s="1" t="s">
        <v>46</v>
      </c>
      <c r="D33" s="38" t="s">
        <v>963</v>
      </c>
      <c r="E33" s="1" t="s">
        <v>27</v>
      </c>
      <c r="F33" s="1" t="s">
        <v>40</v>
      </c>
      <c r="G33" s="1" t="s">
        <v>964</v>
      </c>
      <c r="H33" s="1" t="n">
        <v>1</v>
      </c>
      <c r="I33" s="1" t="n">
        <v>0</v>
      </c>
      <c r="J33" s="1" t="n">
        <v>1</v>
      </c>
      <c r="K33" s="1" t="s">
        <v>27</v>
      </c>
      <c r="L33" s="1" t="s">
        <v>40</v>
      </c>
      <c r="M33" s="1" t="s">
        <v>965</v>
      </c>
      <c r="N33" s="1" t="s">
        <v>903</v>
      </c>
      <c r="O33" s="1" t="s">
        <v>27</v>
      </c>
      <c r="P33" s="1" t="s">
        <v>40</v>
      </c>
    </row>
    <row r="34" customFormat="false" ht="15" hidden="false" customHeight="false" outlineLevel="0" collapsed="false">
      <c r="A34" s="1" t="s">
        <v>146</v>
      </c>
      <c r="B34" s="1" t="s">
        <v>26</v>
      </c>
      <c r="C34" s="1" t="s">
        <v>40</v>
      </c>
      <c r="D34" s="38" t="s">
        <v>966</v>
      </c>
      <c r="E34" s="1" t="s">
        <v>26</v>
      </c>
      <c r="F34" s="1" t="s">
        <v>40</v>
      </c>
      <c r="G34" s="1" t="s">
        <v>967</v>
      </c>
      <c r="H34" s="1" t="n">
        <v>1</v>
      </c>
      <c r="I34" s="1" t="n">
        <v>1</v>
      </c>
      <c r="J34" s="1" t="n">
        <v>0</v>
      </c>
      <c r="O34" s="1" t="s">
        <v>26</v>
      </c>
      <c r="P34" s="1" t="s">
        <v>40</v>
      </c>
    </row>
    <row r="35" customFormat="false" ht="15" hidden="false" customHeight="false" outlineLevel="0" collapsed="false">
      <c r="A35" s="1" t="s">
        <v>149</v>
      </c>
      <c r="B35" s="1" t="s">
        <v>26</v>
      </c>
      <c r="C35" s="1" t="s">
        <v>40</v>
      </c>
      <c r="D35" s="38" t="s">
        <v>968</v>
      </c>
      <c r="E35" s="1" t="s">
        <v>26</v>
      </c>
      <c r="F35" s="1" t="s">
        <v>969</v>
      </c>
      <c r="G35" s="1" t="s">
        <v>970</v>
      </c>
      <c r="H35" s="1" t="n">
        <v>1</v>
      </c>
      <c r="I35" s="1" t="n">
        <v>0</v>
      </c>
      <c r="J35" s="1" t="n">
        <v>1</v>
      </c>
      <c r="K35" s="1" t="s">
        <v>26</v>
      </c>
      <c r="L35" s="1" t="s">
        <v>969</v>
      </c>
      <c r="M35" s="1" t="s">
        <v>971</v>
      </c>
      <c r="N35" s="1" t="s">
        <v>903</v>
      </c>
      <c r="O35" s="1" t="s">
        <v>26</v>
      </c>
      <c r="P35" s="1" t="s">
        <v>969</v>
      </c>
    </row>
    <row r="36" customFormat="false" ht="15" hidden="false" customHeight="false" outlineLevel="0" collapsed="false">
      <c r="A36" s="1" t="s">
        <v>153</v>
      </c>
      <c r="B36" s="1" t="s">
        <v>26</v>
      </c>
      <c r="C36" s="1" t="s">
        <v>972</v>
      </c>
      <c r="D36" s="38" t="s">
        <v>973</v>
      </c>
      <c r="E36" s="1" t="s">
        <v>26</v>
      </c>
      <c r="F36" s="1" t="s">
        <v>78</v>
      </c>
      <c r="G36" s="1" t="s">
        <v>974</v>
      </c>
      <c r="H36" s="1" t="n">
        <v>1</v>
      </c>
      <c r="I36" s="1" t="n">
        <v>0</v>
      </c>
      <c r="J36" s="1" t="n">
        <v>1</v>
      </c>
      <c r="K36" s="1" t="s">
        <v>26</v>
      </c>
      <c r="L36" s="1" t="s">
        <v>972</v>
      </c>
      <c r="M36" s="1" t="s">
        <v>975</v>
      </c>
      <c r="N36" s="1" t="s">
        <v>914</v>
      </c>
      <c r="O36" s="1" t="s">
        <v>26</v>
      </c>
      <c r="P36" s="1" t="s">
        <v>972</v>
      </c>
    </row>
    <row r="37" customFormat="false" ht="15" hidden="false" customHeight="false" outlineLevel="0" collapsed="false">
      <c r="A37" s="1" t="s">
        <v>156</v>
      </c>
      <c r="B37" s="1" t="s">
        <v>26</v>
      </c>
      <c r="C37" s="1" t="s">
        <v>87</v>
      </c>
      <c r="D37" s="38" t="s">
        <v>976</v>
      </c>
      <c r="E37" s="1" t="s">
        <v>26</v>
      </c>
      <c r="F37" s="1" t="s">
        <v>87</v>
      </c>
      <c r="G37" s="1" t="s">
        <v>977</v>
      </c>
      <c r="H37" s="1" t="n">
        <v>1</v>
      </c>
      <c r="I37" s="1" t="n">
        <v>1</v>
      </c>
      <c r="J37" s="1" t="n">
        <v>0</v>
      </c>
      <c r="O37" s="1" t="s">
        <v>26</v>
      </c>
      <c r="P37" s="1" t="s">
        <v>87</v>
      </c>
    </row>
    <row r="38" customFormat="false" ht="15" hidden="false" customHeight="false" outlineLevel="0" collapsed="false">
      <c r="A38" s="1" t="s">
        <v>161</v>
      </c>
      <c r="B38" s="1" t="s">
        <v>20</v>
      </c>
      <c r="C38" s="1" t="s">
        <v>22</v>
      </c>
      <c r="D38" s="1" t="s">
        <v>978</v>
      </c>
      <c r="E38" s="1" t="s">
        <v>20</v>
      </c>
      <c r="F38" s="1" t="s">
        <v>22</v>
      </c>
      <c r="G38" s="1" t="s">
        <v>899</v>
      </c>
      <c r="H38" s="1" t="n">
        <v>1</v>
      </c>
      <c r="I38" s="1" t="n">
        <v>1</v>
      </c>
      <c r="J38" s="1" t="n">
        <v>0</v>
      </c>
      <c r="O38" s="1" t="s">
        <v>20</v>
      </c>
      <c r="P38" s="1" t="s">
        <v>22</v>
      </c>
    </row>
    <row r="39" customFormat="false" ht="15" hidden="false" customHeight="false" outlineLevel="0" collapsed="false">
      <c r="A39" s="1" t="s">
        <v>163</v>
      </c>
      <c r="B39" s="1" t="s">
        <v>27</v>
      </c>
      <c r="C39" s="1" t="s">
        <v>166</v>
      </c>
      <c r="D39" s="1" t="s">
        <v>979</v>
      </c>
      <c r="E39" s="1" t="s">
        <v>27</v>
      </c>
      <c r="F39" s="1" t="s">
        <v>166</v>
      </c>
      <c r="G39" s="1" t="s">
        <v>980</v>
      </c>
      <c r="H39" s="1" t="n">
        <v>1</v>
      </c>
      <c r="I39" s="1" t="n">
        <v>1</v>
      </c>
      <c r="J39" s="1" t="n">
        <v>0</v>
      </c>
      <c r="O39" s="1" t="s">
        <v>27</v>
      </c>
      <c r="P39" s="1" t="s">
        <v>166</v>
      </c>
    </row>
    <row r="40" customFormat="false" ht="15" hidden="false" customHeight="false" outlineLevel="0" collapsed="false">
      <c r="A40" s="1" t="s">
        <v>168</v>
      </c>
      <c r="B40" s="1" t="s">
        <v>26</v>
      </c>
      <c r="C40" s="1" t="s">
        <v>972</v>
      </c>
      <c r="D40" s="38" t="s">
        <v>981</v>
      </c>
      <c r="E40" s="1" t="s">
        <v>26</v>
      </c>
      <c r="F40" s="1" t="s">
        <v>972</v>
      </c>
      <c r="G40" s="1" t="s">
        <v>982</v>
      </c>
      <c r="H40" s="1" t="n">
        <v>1</v>
      </c>
      <c r="I40" s="1" t="n">
        <v>1</v>
      </c>
      <c r="J40" s="1" t="n">
        <v>0</v>
      </c>
      <c r="O40" s="1" t="s">
        <v>26</v>
      </c>
      <c r="P40" s="1" t="s">
        <v>972</v>
      </c>
    </row>
    <row r="41" customFormat="false" ht="15" hidden="false" customHeight="false" outlineLevel="0" collapsed="false">
      <c r="A41" s="1" t="s">
        <v>171</v>
      </c>
      <c r="B41" s="1" t="s">
        <v>31</v>
      </c>
      <c r="C41" s="1" t="s">
        <v>33</v>
      </c>
      <c r="D41" s="1" t="s">
        <v>983</v>
      </c>
      <c r="E41" s="1" t="s">
        <v>31</v>
      </c>
      <c r="F41" s="1" t="s">
        <v>33</v>
      </c>
      <c r="G41" s="1" t="s">
        <v>984</v>
      </c>
      <c r="H41" s="1" t="n">
        <v>1</v>
      </c>
      <c r="I41" s="1" t="n">
        <v>1</v>
      </c>
      <c r="J41" s="1" t="n">
        <v>0</v>
      </c>
      <c r="O41" s="1" t="s">
        <v>31</v>
      </c>
      <c r="P41" s="1" t="s">
        <v>33</v>
      </c>
    </row>
    <row r="42" customFormat="false" ht="15" hidden="false" customHeight="false" outlineLevel="0" collapsed="false">
      <c r="A42" s="1" t="s">
        <v>175</v>
      </c>
      <c r="B42" s="1" t="s">
        <v>26</v>
      </c>
      <c r="C42" s="1" t="s">
        <v>22</v>
      </c>
      <c r="D42" s="38" t="s">
        <v>985</v>
      </c>
      <c r="E42" s="1" t="s">
        <v>26</v>
      </c>
      <c r="F42" s="1" t="s">
        <v>22</v>
      </c>
      <c r="G42" s="1" t="s">
        <v>986</v>
      </c>
      <c r="H42" s="1" t="n">
        <v>1</v>
      </c>
      <c r="I42" s="1" t="n">
        <v>1</v>
      </c>
      <c r="J42" s="1" t="n">
        <v>0</v>
      </c>
      <c r="O42" s="1" t="s">
        <v>26</v>
      </c>
      <c r="P42" s="1" t="s">
        <v>22</v>
      </c>
    </row>
    <row r="43" customFormat="false" ht="15" hidden="false" customHeight="false" outlineLevel="0" collapsed="false">
      <c r="A43" s="1" t="s">
        <v>178</v>
      </c>
      <c r="B43" s="1" t="s">
        <v>20</v>
      </c>
      <c r="C43" s="1" t="s">
        <v>22</v>
      </c>
      <c r="D43" s="1" t="s">
        <v>987</v>
      </c>
      <c r="E43" s="1" t="s">
        <v>20</v>
      </c>
      <c r="F43" s="1" t="s">
        <v>29</v>
      </c>
      <c r="G43" s="1" t="s">
        <v>988</v>
      </c>
      <c r="H43" s="1" t="n">
        <v>1</v>
      </c>
      <c r="I43" s="1" t="n">
        <v>0</v>
      </c>
      <c r="J43" s="1" t="n">
        <v>1</v>
      </c>
      <c r="K43" s="1" t="s">
        <v>20</v>
      </c>
      <c r="L43" s="1" t="s">
        <v>29</v>
      </c>
      <c r="M43" s="1" t="s">
        <v>989</v>
      </c>
      <c r="N43" s="1" t="s">
        <v>914</v>
      </c>
      <c r="O43" s="1" t="s">
        <v>20</v>
      </c>
      <c r="P43" s="1" t="s">
        <v>29</v>
      </c>
    </row>
    <row r="44" customFormat="false" ht="15" hidden="false" customHeight="false" outlineLevel="0" collapsed="false">
      <c r="A44" s="1" t="s">
        <v>180</v>
      </c>
      <c r="B44" s="1" t="s">
        <v>26</v>
      </c>
      <c r="C44" s="1" t="s">
        <v>40</v>
      </c>
      <c r="D44" s="38" t="s">
        <v>990</v>
      </c>
      <c r="E44" s="1" t="s">
        <v>26</v>
      </c>
      <c r="F44" s="1" t="s">
        <v>40</v>
      </c>
      <c r="G44" s="1" t="s">
        <v>991</v>
      </c>
      <c r="H44" s="1" t="n">
        <v>1</v>
      </c>
      <c r="I44" s="1" t="n">
        <v>1</v>
      </c>
      <c r="J44" s="1" t="n">
        <v>0</v>
      </c>
      <c r="O44" s="1" t="s">
        <v>26</v>
      </c>
      <c r="P44" s="1" t="s">
        <v>40</v>
      </c>
    </row>
    <row r="45" customFormat="false" ht="15" hidden="false" customHeight="false" outlineLevel="0" collapsed="false">
      <c r="A45" s="1" t="s">
        <v>183</v>
      </c>
      <c r="B45" s="1" t="s">
        <v>20</v>
      </c>
      <c r="C45" s="1" t="s">
        <v>22</v>
      </c>
      <c r="D45" s="1" t="s">
        <v>992</v>
      </c>
      <c r="E45" s="1" t="s">
        <v>20</v>
      </c>
      <c r="F45" s="1" t="s">
        <v>22</v>
      </c>
      <c r="G45" s="1" t="s">
        <v>993</v>
      </c>
      <c r="H45" s="1" t="n">
        <v>1</v>
      </c>
      <c r="I45" s="1" t="n">
        <v>1</v>
      </c>
      <c r="J45" s="1" t="n">
        <v>0</v>
      </c>
      <c r="O45" s="1" t="s">
        <v>20</v>
      </c>
      <c r="P45" s="1" t="s">
        <v>22</v>
      </c>
    </row>
    <row r="46" customFormat="false" ht="15" hidden="false" customHeight="false" outlineLevel="0" collapsed="false">
      <c r="A46" s="1" t="s">
        <v>186</v>
      </c>
      <c r="B46" s="1" t="s">
        <v>26</v>
      </c>
      <c r="C46" s="1" t="s">
        <v>189</v>
      </c>
      <c r="D46" s="38" t="s">
        <v>994</v>
      </c>
      <c r="E46" s="1" t="s">
        <v>26</v>
      </c>
      <c r="F46" s="1" t="s">
        <v>189</v>
      </c>
      <c r="G46" s="1" t="s">
        <v>995</v>
      </c>
      <c r="H46" s="1" t="n">
        <v>1</v>
      </c>
      <c r="I46" s="1" t="n">
        <v>1</v>
      </c>
      <c r="J46" s="1" t="n">
        <v>0</v>
      </c>
      <c r="O46" s="1" t="s">
        <v>26</v>
      </c>
      <c r="P46" s="1" t="s">
        <v>189</v>
      </c>
    </row>
    <row r="47" customFormat="false" ht="15" hidden="false" customHeight="false" outlineLevel="0" collapsed="false">
      <c r="A47" s="1" t="s">
        <v>190</v>
      </c>
      <c r="D47" s="1"/>
      <c r="E47" s="1" t="s">
        <v>20</v>
      </c>
      <c r="F47" s="1" t="s">
        <v>40</v>
      </c>
      <c r="G47" s="1" t="s">
        <v>899</v>
      </c>
      <c r="H47" s="1" t="n">
        <v>0</v>
      </c>
      <c r="I47" s="1" t="n">
        <v>0</v>
      </c>
      <c r="J47" s="1" t="n">
        <v>0</v>
      </c>
    </row>
    <row r="48" customFormat="false" ht="15" hidden="false" customHeight="false" outlineLevel="0" collapsed="false">
      <c r="A48" s="1" t="s">
        <v>192</v>
      </c>
      <c r="B48" s="1" t="s">
        <v>26</v>
      </c>
      <c r="C48" s="1" t="s">
        <v>46</v>
      </c>
      <c r="D48" s="38" t="s">
        <v>996</v>
      </c>
      <c r="E48" s="1" t="s">
        <v>26</v>
      </c>
      <c r="F48" s="1" t="s">
        <v>46</v>
      </c>
      <c r="G48" s="1" t="s">
        <v>997</v>
      </c>
      <c r="H48" s="1" t="n">
        <v>1</v>
      </c>
      <c r="I48" s="1" t="n">
        <v>1</v>
      </c>
      <c r="J48" s="1" t="n">
        <v>0</v>
      </c>
      <c r="O48" s="1" t="s">
        <v>26</v>
      </c>
      <c r="P48" s="1" t="s">
        <v>46</v>
      </c>
    </row>
    <row r="49" customFormat="false" ht="15" hidden="false" customHeight="false" outlineLevel="0" collapsed="false">
      <c r="A49" s="1" t="s">
        <v>195</v>
      </c>
      <c r="B49" s="1" t="s">
        <v>20</v>
      </c>
      <c r="C49" s="1" t="s">
        <v>40</v>
      </c>
      <c r="D49" s="1" t="s">
        <v>998</v>
      </c>
      <c r="E49" s="1" t="s">
        <v>20</v>
      </c>
      <c r="F49" s="1" t="s">
        <v>40</v>
      </c>
      <c r="G49" s="1" t="s">
        <v>999</v>
      </c>
      <c r="H49" s="1" t="n">
        <v>1</v>
      </c>
      <c r="I49" s="1" t="n">
        <v>1</v>
      </c>
      <c r="J49" s="1" t="n">
        <v>0</v>
      </c>
      <c r="O49" s="1" t="s">
        <v>20</v>
      </c>
      <c r="P49" s="1" t="s">
        <v>40</v>
      </c>
    </row>
    <row r="50" customFormat="false" ht="15" hidden="false" customHeight="false" outlineLevel="0" collapsed="false">
      <c r="A50" s="1" t="s">
        <v>198</v>
      </c>
      <c r="B50" s="1" t="s">
        <v>27</v>
      </c>
      <c r="C50" s="1" t="s">
        <v>58</v>
      </c>
      <c r="D50" s="1" t="s">
        <v>1000</v>
      </c>
      <c r="E50" s="1" t="s">
        <v>27</v>
      </c>
      <c r="F50" s="1" t="s">
        <v>58</v>
      </c>
      <c r="G50" s="1" t="s">
        <v>920</v>
      </c>
      <c r="H50" s="1" t="n">
        <v>1</v>
      </c>
      <c r="I50" s="1" t="n">
        <v>1</v>
      </c>
      <c r="J50" s="1" t="n">
        <v>0</v>
      </c>
      <c r="O50" s="1" t="s">
        <v>27</v>
      </c>
      <c r="P50" s="1" t="s">
        <v>58</v>
      </c>
    </row>
    <row r="51" customFormat="false" ht="15" hidden="false" customHeight="false" outlineLevel="0" collapsed="false">
      <c r="A51" s="1" t="s">
        <v>200</v>
      </c>
      <c r="B51" s="1" t="s">
        <v>26</v>
      </c>
      <c r="C51" s="1" t="s">
        <v>40</v>
      </c>
      <c r="D51" s="1" t="s">
        <v>1001</v>
      </c>
      <c r="E51" s="1" t="s">
        <v>26</v>
      </c>
      <c r="F51" s="1" t="s">
        <v>40</v>
      </c>
      <c r="G51" s="1" t="s">
        <v>1002</v>
      </c>
      <c r="H51" s="1" t="n">
        <v>1</v>
      </c>
      <c r="I51" s="1" t="n">
        <v>1</v>
      </c>
      <c r="J51" s="1" t="n">
        <v>0</v>
      </c>
      <c r="O51" s="1" t="s">
        <v>26</v>
      </c>
      <c r="P51" s="1" t="s">
        <v>40</v>
      </c>
    </row>
    <row r="52" customFormat="false" ht="15" hidden="false" customHeight="false" outlineLevel="0" collapsed="false">
      <c r="A52" s="1" t="s">
        <v>203</v>
      </c>
      <c r="B52" s="1" t="s">
        <v>26</v>
      </c>
      <c r="C52" s="1" t="s">
        <v>46</v>
      </c>
      <c r="D52" s="1" t="s">
        <v>1003</v>
      </c>
      <c r="E52" s="1" t="s">
        <v>26</v>
      </c>
      <c r="F52" s="1" t="s">
        <v>46</v>
      </c>
      <c r="G52" s="1" t="s">
        <v>1004</v>
      </c>
      <c r="H52" s="1" t="n">
        <v>1</v>
      </c>
      <c r="I52" s="1" t="n">
        <v>1</v>
      </c>
      <c r="J52" s="1" t="n">
        <v>0</v>
      </c>
      <c r="O52" s="1" t="s">
        <v>26</v>
      </c>
      <c r="P52" s="1" t="s">
        <v>46</v>
      </c>
    </row>
    <row r="53" customFormat="false" ht="15" hidden="false" customHeight="false" outlineLevel="0" collapsed="false">
      <c r="A53" s="1" t="s">
        <v>207</v>
      </c>
      <c r="B53" s="1" t="s">
        <v>26</v>
      </c>
      <c r="C53" s="1" t="s">
        <v>40</v>
      </c>
      <c r="D53" s="38" t="s">
        <v>1005</v>
      </c>
      <c r="E53" s="1" t="s">
        <v>26</v>
      </c>
      <c r="F53" s="1" t="s">
        <v>40</v>
      </c>
      <c r="G53" s="1" t="s">
        <v>1006</v>
      </c>
      <c r="H53" s="1" t="n">
        <v>1</v>
      </c>
      <c r="I53" s="1" t="n">
        <v>1</v>
      </c>
      <c r="J53" s="1" t="n">
        <v>0</v>
      </c>
      <c r="O53" s="1" t="s">
        <v>26</v>
      </c>
      <c r="P53" s="1" t="s">
        <v>40</v>
      </c>
    </row>
    <row r="54" customFormat="false" ht="15" hidden="false" customHeight="false" outlineLevel="0" collapsed="false">
      <c r="A54" s="1" t="s">
        <v>211</v>
      </c>
      <c r="D54" s="1"/>
      <c r="E54" s="1" t="s">
        <v>26</v>
      </c>
      <c r="F54" s="1" t="s">
        <v>580</v>
      </c>
      <c r="G54" s="1" t="s">
        <v>1007</v>
      </c>
      <c r="H54" s="1" t="n">
        <v>0</v>
      </c>
      <c r="I54" s="1" t="n">
        <v>0</v>
      </c>
      <c r="J54" s="1" t="n">
        <v>0</v>
      </c>
    </row>
    <row r="55" customFormat="false" ht="15" hidden="false" customHeight="false" outlineLevel="0" collapsed="false">
      <c r="A55" s="1" t="s">
        <v>215</v>
      </c>
      <c r="B55" s="1" t="s">
        <v>27</v>
      </c>
      <c r="C55" s="1" t="s">
        <v>33</v>
      </c>
      <c r="D55" s="1" t="s">
        <v>1008</v>
      </c>
      <c r="E55" s="1" t="s">
        <v>27</v>
      </c>
      <c r="F55" s="1" t="s">
        <v>33</v>
      </c>
      <c r="G55" s="1" t="s">
        <v>1009</v>
      </c>
      <c r="H55" s="1" t="n">
        <v>1</v>
      </c>
      <c r="I55" s="1" t="n">
        <v>1</v>
      </c>
      <c r="J55" s="1" t="n">
        <v>0</v>
      </c>
      <c r="O55" s="1" t="s">
        <v>27</v>
      </c>
      <c r="P55" s="1" t="s">
        <v>33</v>
      </c>
    </row>
    <row r="56" customFormat="false" ht="15" hidden="false" customHeight="false" outlineLevel="0" collapsed="false">
      <c r="A56" s="1" t="s">
        <v>217</v>
      </c>
      <c r="B56" s="1" t="s">
        <v>27</v>
      </c>
      <c r="C56" s="1" t="s">
        <v>58</v>
      </c>
      <c r="D56" s="1" t="s">
        <v>1010</v>
      </c>
      <c r="E56" s="1" t="s">
        <v>27</v>
      </c>
      <c r="F56" s="1" t="s">
        <v>58</v>
      </c>
      <c r="G56" s="1" t="s">
        <v>1011</v>
      </c>
      <c r="H56" s="1" t="n">
        <v>1</v>
      </c>
      <c r="I56" s="1" t="n">
        <v>1</v>
      </c>
      <c r="J56" s="1" t="n">
        <v>0</v>
      </c>
      <c r="O56" s="1" t="s">
        <v>27</v>
      </c>
      <c r="P56" s="1" t="s">
        <v>58</v>
      </c>
    </row>
    <row r="57" customFormat="false" ht="15" hidden="false" customHeight="false" outlineLevel="0" collapsed="false">
      <c r="A57" s="1" t="s">
        <v>220</v>
      </c>
      <c r="B57" s="1" t="s">
        <v>20</v>
      </c>
      <c r="C57" s="1" t="s">
        <v>40</v>
      </c>
      <c r="D57" s="1" t="s">
        <v>1012</v>
      </c>
      <c r="E57" s="1" t="s">
        <v>20</v>
      </c>
      <c r="F57" s="1" t="s">
        <v>40</v>
      </c>
      <c r="G57" s="1" t="s">
        <v>1013</v>
      </c>
      <c r="H57" s="1" t="n">
        <v>1</v>
      </c>
      <c r="I57" s="1" t="n">
        <v>1</v>
      </c>
      <c r="J57" s="1" t="n">
        <v>0</v>
      </c>
      <c r="O57" s="1" t="s">
        <v>20</v>
      </c>
      <c r="P57" s="1" t="s">
        <v>40</v>
      </c>
    </row>
    <row r="58" customFormat="false" ht="15" hidden="false" customHeight="false" outlineLevel="0" collapsed="false">
      <c r="A58" s="1" t="s">
        <v>223</v>
      </c>
      <c r="B58" s="1" t="s">
        <v>31</v>
      </c>
      <c r="C58" s="1" t="s">
        <v>78</v>
      </c>
      <c r="D58" s="38" t="s">
        <v>1014</v>
      </c>
      <c r="E58" s="1" t="s">
        <v>31</v>
      </c>
      <c r="F58" s="1" t="s">
        <v>78</v>
      </c>
      <c r="G58" s="1" t="s">
        <v>1015</v>
      </c>
      <c r="H58" s="1" t="n">
        <v>1</v>
      </c>
      <c r="I58" s="1" t="n">
        <v>1</v>
      </c>
      <c r="J58" s="1" t="n">
        <v>0</v>
      </c>
      <c r="O58" s="1" t="s">
        <v>31</v>
      </c>
      <c r="P58" s="1" t="s">
        <v>78</v>
      </c>
    </row>
    <row r="59" customFormat="false" ht="15" hidden="false" customHeight="false" outlineLevel="0" collapsed="false">
      <c r="A59" s="1" t="s">
        <v>226</v>
      </c>
      <c r="B59" s="1" t="s">
        <v>26</v>
      </c>
      <c r="C59" s="1" t="s">
        <v>22</v>
      </c>
      <c r="D59" s="38" t="s">
        <v>1016</v>
      </c>
      <c r="E59" s="1" t="s">
        <v>26</v>
      </c>
      <c r="F59" s="1" t="s">
        <v>22</v>
      </c>
      <c r="G59" s="1" t="s">
        <v>1017</v>
      </c>
      <c r="H59" s="1" t="n">
        <v>1</v>
      </c>
      <c r="I59" s="1" t="n">
        <v>1</v>
      </c>
      <c r="J59" s="1" t="n">
        <v>0</v>
      </c>
      <c r="O59" s="1" t="s">
        <v>26</v>
      </c>
      <c r="P59" s="1" t="s">
        <v>22</v>
      </c>
    </row>
    <row r="60" customFormat="false" ht="15" hidden="false" customHeight="false" outlineLevel="0" collapsed="false">
      <c r="A60" s="1" t="s">
        <v>230</v>
      </c>
      <c r="B60" s="1" t="s">
        <v>20</v>
      </c>
      <c r="C60" s="1" t="s">
        <v>22</v>
      </c>
      <c r="D60" s="1" t="s">
        <v>1018</v>
      </c>
      <c r="E60" s="1" t="s">
        <v>20</v>
      </c>
      <c r="F60" s="1" t="s">
        <v>78</v>
      </c>
      <c r="G60" s="1" t="s">
        <v>1019</v>
      </c>
      <c r="H60" s="1" t="n">
        <v>1</v>
      </c>
      <c r="I60" s="1" t="n">
        <v>0</v>
      </c>
      <c r="J60" s="1" t="n">
        <v>1</v>
      </c>
      <c r="K60" s="1" t="s">
        <v>20</v>
      </c>
      <c r="L60" s="1" t="s">
        <v>78</v>
      </c>
      <c r="M60" s="1" t="s">
        <v>1020</v>
      </c>
      <c r="N60" s="1" t="s">
        <v>914</v>
      </c>
      <c r="O60" s="1" t="s">
        <v>20</v>
      </c>
      <c r="P60" s="1" t="s">
        <v>78</v>
      </c>
    </row>
    <row r="61" customFormat="false" ht="15" hidden="false" customHeight="false" outlineLevel="0" collapsed="false">
      <c r="A61" s="1" t="s">
        <v>233</v>
      </c>
      <c r="B61" s="1" t="s">
        <v>27</v>
      </c>
      <c r="C61" s="1" t="s">
        <v>46</v>
      </c>
      <c r="D61" s="1" t="s">
        <v>1021</v>
      </c>
      <c r="E61" s="1" t="s">
        <v>27</v>
      </c>
      <c r="F61" s="1" t="s">
        <v>40</v>
      </c>
      <c r="G61" s="1" t="s">
        <v>1022</v>
      </c>
      <c r="H61" s="1" t="n">
        <v>1</v>
      </c>
      <c r="I61" s="1" t="n">
        <v>0</v>
      </c>
      <c r="J61" s="1" t="n">
        <v>1</v>
      </c>
      <c r="K61" s="1" t="s">
        <v>27</v>
      </c>
      <c r="L61" s="1" t="s">
        <v>40</v>
      </c>
      <c r="M61" s="1" t="s">
        <v>1023</v>
      </c>
      <c r="N61" s="1" t="s">
        <v>914</v>
      </c>
      <c r="O61" s="1" t="s">
        <v>27</v>
      </c>
      <c r="P61" s="1" t="s">
        <v>40</v>
      </c>
    </row>
    <row r="62" customFormat="false" ht="15" hidden="false" customHeight="false" outlineLevel="0" collapsed="false">
      <c r="A62" s="1" t="s">
        <v>236</v>
      </c>
      <c r="B62" s="1" t="s">
        <v>26</v>
      </c>
      <c r="C62" s="1" t="s">
        <v>50</v>
      </c>
      <c r="D62" s="38" t="s">
        <v>1024</v>
      </c>
      <c r="E62" s="1" t="s">
        <v>26</v>
      </c>
      <c r="F62" s="1" t="s">
        <v>50</v>
      </c>
      <c r="G62" s="1" t="s">
        <v>1025</v>
      </c>
      <c r="H62" s="1" t="n">
        <v>1</v>
      </c>
      <c r="I62" s="1" t="n">
        <v>1</v>
      </c>
      <c r="J62" s="1" t="n">
        <v>0</v>
      </c>
      <c r="O62" s="1" t="s">
        <v>26</v>
      </c>
      <c r="P62" s="1" t="s">
        <v>50</v>
      </c>
    </row>
    <row r="63" customFormat="false" ht="15" hidden="false" customHeight="false" outlineLevel="0" collapsed="false">
      <c r="A63" s="1" t="s">
        <v>241</v>
      </c>
      <c r="B63" s="1" t="s">
        <v>26</v>
      </c>
      <c r="C63" s="1" t="s">
        <v>40</v>
      </c>
      <c r="D63" s="38" t="s">
        <v>1026</v>
      </c>
      <c r="E63" s="1" t="s">
        <v>26</v>
      </c>
      <c r="F63" s="1" t="s">
        <v>40</v>
      </c>
      <c r="G63" s="1" t="s">
        <v>1027</v>
      </c>
      <c r="H63" s="1" t="n">
        <v>1</v>
      </c>
      <c r="I63" s="1" t="n">
        <v>1</v>
      </c>
      <c r="J63" s="1" t="n">
        <v>0</v>
      </c>
      <c r="O63" s="1" t="s">
        <v>26</v>
      </c>
      <c r="P63" s="1" t="s">
        <v>40</v>
      </c>
    </row>
    <row r="64" customFormat="false" ht="15" hidden="false" customHeight="false" outlineLevel="0" collapsed="false">
      <c r="A64" s="1" t="s">
        <v>245</v>
      </c>
      <c r="B64" s="1" t="s">
        <v>26</v>
      </c>
      <c r="C64" s="1" t="s">
        <v>83</v>
      </c>
      <c r="D64" s="1" t="s">
        <v>1028</v>
      </c>
      <c r="E64" s="1" t="s">
        <v>26</v>
      </c>
      <c r="F64" s="1" t="s">
        <v>589</v>
      </c>
      <c r="G64" s="1" t="s">
        <v>1029</v>
      </c>
      <c r="H64" s="1" t="n">
        <v>1</v>
      </c>
      <c r="I64" s="1" t="n">
        <v>0</v>
      </c>
      <c r="J64" s="1" t="n">
        <v>1</v>
      </c>
      <c r="K64" s="1" t="s">
        <v>26</v>
      </c>
      <c r="L64" s="1" t="s">
        <v>589</v>
      </c>
      <c r="M64" s="1" t="s">
        <v>1030</v>
      </c>
      <c r="N64" s="1" t="s">
        <v>903</v>
      </c>
      <c r="O64" s="1" t="s">
        <v>26</v>
      </c>
      <c r="P64" s="1" t="s">
        <v>589</v>
      </c>
    </row>
    <row r="65" customFormat="false" ht="15" hidden="false" customHeight="false" outlineLevel="0" collapsed="false">
      <c r="A65" s="1" t="s">
        <v>248</v>
      </c>
      <c r="B65" s="1" t="s">
        <v>31</v>
      </c>
      <c r="C65" s="1" t="s">
        <v>22</v>
      </c>
      <c r="D65" s="38" t="s">
        <v>1031</v>
      </c>
      <c r="E65" s="1" t="s">
        <v>31</v>
      </c>
      <c r="F65" s="1" t="s">
        <v>78</v>
      </c>
      <c r="G65" s="1" t="s">
        <v>1032</v>
      </c>
      <c r="H65" s="1" t="n">
        <v>1</v>
      </c>
      <c r="I65" s="1" t="n">
        <v>0</v>
      </c>
      <c r="J65" s="1" t="n">
        <v>1</v>
      </c>
      <c r="K65" s="1" t="s">
        <v>31</v>
      </c>
      <c r="L65" s="1" t="s">
        <v>78</v>
      </c>
      <c r="M65" s="1" t="s">
        <v>1033</v>
      </c>
      <c r="N65" s="1" t="s">
        <v>903</v>
      </c>
      <c r="O65" s="1" t="s">
        <v>31</v>
      </c>
      <c r="P65" s="1" t="s">
        <v>78</v>
      </c>
    </row>
    <row r="66" customFormat="false" ht="15" hidden="false" customHeight="false" outlineLevel="0" collapsed="false">
      <c r="A66" s="1" t="s">
        <v>252</v>
      </c>
      <c r="B66" s="1" t="s">
        <v>20</v>
      </c>
      <c r="C66" s="1" t="s">
        <v>46</v>
      </c>
      <c r="D66" s="1" t="s">
        <v>1034</v>
      </c>
      <c r="E66" s="1" t="s">
        <v>20</v>
      </c>
      <c r="F66" s="1" t="s">
        <v>40</v>
      </c>
      <c r="G66" s="1" t="s">
        <v>1035</v>
      </c>
      <c r="H66" s="1" t="n">
        <v>1</v>
      </c>
      <c r="I66" s="1" t="n">
        <v>0</v>
      </c>
      <c r="J66" s="1" t="n">
        <v>1</v>
      </c>
      <c r="K66" s="1" t="s">
        <v>20</v>
      </c>
      <c r="L66" s="1" t="s">
        <v>46</v>
      </c>
      <c r="M66" s="1" t="s">
        <v>1036</v>
      </c>
      <c r="N66" s="1" t="s">
        <v>903</v>
      </c>
      <c r="O66" s="1" t="s">
        <v>20</v>
      </c>
      <c r="P66" s="1" t="s">
        <v>46</v>
      </c>
    </row>
    <row r="67" customFormat="false" ht="15" hidden="false" customHeight="false" outlineLevel="0" collapsed="false">
      <c r="A67" s="1" t="s">
        <v>255</v>
      </c>
      <c r="B67" s="1" t="s">
        <v>27</v>
      </c>
      <c r="C67" s="1" t="s">
        <v>22</v>
      </c>
      <c r="D67" s="38" t="s">
        <v>1037</v>
      </c>
      <c r="E67" s="1" t="s">
        <v>27</v>
      </c>
      <c r="F67" s="1" t="s">
        <v>22</v>
      </c>
      <c r="G67" s="1" t="s">
        <v>1038</v>
      </c>
      <c r="H67" s="1" t="n">
        <v>1</v>
      </c>
      <c r="I67" s="1" t="n">
        <v>1</v>
      </c>
      <c r="J67" s="1" t="n">
        <v>0</v>
      </c>
      <c r="O67" s="1" t="s">
        <v>27</v>
      </c>
      <c r="P67" s="1" t="s">
        <v>22</v>
      </c>
    </row>
    <row r="68" customFormat="false" ht="15" hidden="false" customHeight="false" outlineLevel="0" collapsed="false">
      <c r="A68" s="1" t="s">
        <v>258</v>
      </c>
      <c r="B68" s="1" t="s">
        <v>26</v>
      </c>
      <c r="C68" s="1" t="s">
        <v>46</v>
      </c>
      <c r="D68" s="38" t="s">
        <v>1039</v>
      </c>
      <c r="E68" s="1" t="s">
        <v>26</v>
      </c>
      <c r="F68" s="1" t="s">
        <v>46</v>
      </c>
      <c r="G68" s="1" t="s">
        <v>1040</v>
      </c>
      <c r="H68" s="1" t="n">
        <v>1</v>
      </c>
      <c r="I68" s="1" t="n">
        <v>1</v>
      </c>
      <c r="J68" s="1" t="n">
        <v>0</v>
      </c>
      <c r="O68" s="1" t="s">
        <v>26</v>
      </c>
      <c r="P68" s="1" t="s">
        <v>46</v>
      </c>
    </row>
    <row r="69" customFormat="false" ht="15" hidden="false" customHeight="false" outlineLevel="0" collapsed="false">
      <c r="A69" s="1" t="s">
        <v>261</v>
      </c>
      <c r="B69" s="1" t="s">
        <v>31</v>
      </c>
      <c r="C69" s="1" t="s">
        <v>264</v>
      </c>
      <c r="D69" s="38" t="s">
        <v>1041</v>
      </c>
      <c r="E69" s="1" t="s">
        <v>31</v>
      </c>
      <c r="F69" s="1" t="s">
        <v>264</v>
      </c>
      <c r="G69" s="1" t="s">
        <v>1042</v>
      </c>
      <c r="H69" s="1" t="n">
        <v>1</v>
      </c>
      <c r="I69" s="1" t="n">
        <v>1</v>
      </c>
      <c r="J69" s="1" t="n">
        <v>0</v>
      </c>
      <c r="O69" s="1" t="s">
        <v>31</v>
      </c>
      <c r="P69" s="1" t="s">
        <v>264</v>
      </c>
    </row>
    <row r="70" customFormat="false" ht="15" hidden="false" customHeight="false" outlineLevel="0" collapsed="false">
      <c r="A70" s="1" t="s">
        <v>265</v>
      </c>
      <c r="B70" s="1" t="s">
        <v>26</v>
      </c>
      <c r="C70" s="1" t="s">
        <v>46</v>
      </c>
      <c r="D70" s="38" t="s">
        <v>1043</v>
      </c>
      <c r="E70" s="1" t="s">
        <v>26</v>
      </c>
      <c r="F70" s="1" t="s">
        <v>46</v>
      </c>
      <c r="G70" s="1" t="s">
        <v>1044</v>
      </c>
      <c r="H70" s="1" t="n">
        <v>1</v>
      </c>
      <c r="I70" s="1" t="n">
        <v>1</v>
      </c>
      <c r="J70" s="1" t="n">
        <v>0</v>
      </c>
      <c r="O70" s="1" t="s">
        <v>26</v>
      </c>
      <c r="P70" s="1" t="s">
        <v>46</v>
      </c>
    </row>
    <row r="71" customFormat="false" ht="15" hidden="false" customHeight="false" outlineLevel="0" collapsed="false">
      <c r="A71" s="1" t="s">
        <v>269</v>
      </c>
      <c r="B71" s="1" t="s">
        <v>27</v>
      </c>
      <c r="C71" s="1" t="s">
        <v>46</v>
      </c>
      <c r="D71" s="1" t="s">
        <v>1045</v>
      </c>
      <c r="E71" s="1" t="s">
        <v>27</v>
      </c>
      <c r="F71" s="1" t="s">
        <v>40</v>
      </c>
      <c r="G71" s="1" t="s">
        <v>960</v>
      </c>
      <c r="H71" s="1" t="n">
        <v>1</v>
      </c>
      <c r="I71" s="1" t="n">
        <v>0</v>
      </c>
      <c r="J71" s="1" t="n">
        <v>1</v>
      </c>
      <c r="K71" s="1" t="s">
        <v>27</v>
      </c>
      <c r="L71" s="1" t="s">
        <v>40</v>
      </c>
      <c r="M71" s="1" t="s">
        <v>1046</v>
      </c>
      <c r="N71" s="1" t="s">
        <v>914</v>
      </c>
      <c r="O71" s="1" t="s">
        <v>27</v>
      </c>
      <c r="P71" s="1" t="s">
        <v>40</v>
      </c>
    </row>
    <row r="72" customFormat="false" ht="15" hidden="false" customHeight="false" outlineLevel="0" collapsed="false">
      <c r="A72" s="1" t="s">
        <v>272</v>
      </c>
      <c r="B72" s="1" t="s">
        <v>20</v>
      </c>
      <c r="C72" s="1" t="s">
        <v>22</v>
      </c>
      <c r="D72" s="1" t="s">
        <v>1047</v>
      </c>
      <c r="E72" s="1" t="s">
        <v>20</v>
      </c>
      <c r="F72" s="1" t="s">
        <v>22</v>
      </c>
      <c r="G72" s="1" t="s">
        <v>1048</v>
      </c>
      <c r="H72" s="1" t="n">
        <v>1</v>
      </c>
      <c r="I72" s="1" t="n">
        <v>1</v>
      </c>
      <c r="J72" s="1" t="n">
        <v>0</v>
      </c>
      <c r="O72" s="1" t="s">
        <v>20</v>
      </c>
      <c r="P72" s="1" t="s">
        <v>22</v>
      </c>
    </row>
    <row r="73" customFormat="false" ht="15" hidden="false" customHeight="false" outlineLevel="0" collapsed="false">
      <c r="A73" s="1" t="s">
        <v>277</v>
      </c>
      <c r="B73" s="1" t="s">
        <v>27</v>
      </c>
      <c r="C73" s="1" t="s">
        <v>46</v>
      </c>
      <c r="D73" s="1" t="s">
        <v>1049</v>
      </c>
      <c r="E73" s="1" t="s">
        <v>27</v>
      </c>
      <c r="F73" s="1" t="s">
        <v>46</v>
      </c>
      <c r="G73" s="1" t="s">
        <v>960</v>
      </c>
      <c r="H73" s="1" t="n">
        <v>1</v>
      </c>
      <c r="I73" s="1" t="n">
        <v>1</v>
      </c>
      <c r="J73" s="1" t="n">
        <v>0</v>
      </c>
      <c r="O73" s="1" t="s">
        <v>27</v>
      </c>
      <c r="P73" s="1" t="s">
        <v>46</v>
      </c>
    </row>
    <row r="74" customFormat="false" ht="15" hidden="false" customHeight="false" outlineLevel="0" collapsed="false">
      <c r="A74" s="1" t="s">
        <v>280</v>
      </c>
      <c r="B74" s="1" t="s">
        <v>26</v>
      </c>
      <c r="C74" s="1" t="s">
        <v>214</v>
      </c>
      <c r="D74" s="1" t="s">
        <v>1050</v>
      </c>
      <c r="E74" s="1" t="s">
        <v>26</v>
      </c>
      <c r="F74" s="1" t="s">
        <v>580</v>
      </c>
      <c r="G74" s="1" t="s">
        <v>1051</v>
      </c>
      <c r="H74" s="1" t="n">
        <v>1</v>
      </c>
      <c r="I74" s="1" t="n">
        <v>0</v>
      </c>
      <c r="J74" s="1" t="n">
        <v>1</v>
      </c>
      <c r="K74" s="1" t="s">
        <v>26</v>
      </c>
      <c r="L74" s="1" t="s">
        <v>580</v>
      </c>
      <c r="M74" s="1" t="s">
        <v>1052</v>
      </c>
      <c r="N74" s="1" t="s">
        <v>903</v>
      </c>
      <c r="O74" s="1" t="s">
        <v>26</v>
      </c>
      <c r="P74" s="1" t="s">
        <v>580</v>
      </c>
    </row>
    <row r="75" customFormat="false" ht="15" hidden="false" customHeight="false" outlineLevel="0" collapsed="false">
      <c r="A75" s="1" t="s">
        <v>283</v>
      </c>
      <c r="B75" s="1" t="s">
        <v>26</v>
      </c>
      <c r="C75" s="1" t="s">
        <v>22</v>
      </c>
      <c r="D75" s="1" t="s">
        <v>1053</v>
      </c>
      <c r="E75" s="1" t="s">
        <v>26</v>
      </c>
      <c r="F75" s="1" t="s">
        <v>22</v>
      </c>
      <c r="G75" s="1" t="s">
        <v>1054</v>
      </c>
      <c r="H75" s="1" t="n">
        <v>1</v>
      </c>
      <c r="I75" s="1" t="n">
        <v>1</v>
      </c>
      <c r="J75" s="1" t="n">
        <v>0</v>
      </c>
      <c r="O75" s="1" t="s">
        <v>26</v>
      </c>
      <c r="P75" s="1" t="s">
        <v>22</v>
      </c>
    </row>
    <row r="76" customFormat="false" ht="15" hidden="false" customHeight="false" outlineLevel="0" collapsed="false">
      <c r="A76" s="1" t="s">
        <v>286</v>
      </c>
      <c r="B76" s="1" t="s">
        <v>26</v>
      </c>
      <c r="C76" s="1" t="s">
        <v>40</v>
      </c>
      <c r="D76" s="1" t="s">
        <v>1055</v>
      </c>
      <c r="E76" s="1" t="s">
        <v>26</v>
      </c>
      <c r="F76" s="1" t="s">
        <v>40</v>
      </c>
      <c r="G76" s="1" t="s">
        <v>1056</v>
      </c>
      <c r="H76" s="1" t="n">
        <v>1</v>
      </c>
      <c r="I76" s="1" t="n">
        <v>1</v>
      </c>
      <c r="J76" s="1" t="n">
        <v>0</v>
      </c>
      <c r="O76" s="1" t="s">
        <v>26</v>
      </c>
      <c r="P76" s="1" t="s">
        <v>40</v>
      </c>
    </row>
    <row r="77" customFormat="false" ht="15" hidden="false" customHeight="false" outlineLevel="0" collapsed="false">
      <c r="A77" s="1" t="s">
        <v>289</v>
      </c>
      <c r="B77" s="1" t="s">
        <v>31</v>
      </c>
      <c r="C77" s="1" t="s">
        <v>22</v>
      </c>
      <c r="D77" s="38" t="s">
        <v>1057</v>
      </c>
      <c r="E77" s="1" t="s">
        <v>31</v>
      </c>
      <c r="F77" s="1" t="s">
        <v>22</v>
      </c>
      <c r="G77" s="1" t="s">
        <v>1058</v>
      </c>
      <c r="H77" s="1" t="n">
        <v>1</v>
      </c>
      <c r="I77" s="1" t="n">
        <v>1</v>
      </c>
      <c r="J77" s="1" t="n">
        <v>0</v>
      </c>
      <c r="O77" s="1" t="s">
        <v>31</v>
      </c>
      <c r="P77" s="1" t="s">
        <v>22</v>
      </c>
    </row>
    <row r="78" customFormat="false" ht="15" hidden="false" customHeight="false" outlineLevel="0" collapsed="false">
      <c r="A78" s="1" t="s">
        <v>292</v>
      </c>
      <c r="B78" s="1" t="s">
        <v>27</v>
      </c>
      <c r="C78" s="1" t="s">
        <v>22</v>
      </c>
      <c r="D78" s="38" t="s">
        <v>1059</v>
      </c>
      <c r="E78" s="1" t="s">
        <v>27</v>
      </c>
      <c r="F78" s="1" t="s">
        <v>22</v>
      </c>
      <c r="G78" s="1" t="s">
        <v>1060</v>
      </c>
      <c r="H78" s="1" t="n">
        <v>1</v>
      </c>
      <c r="I78" s="1" t="n">
        <v>1</v>
      </c>
      <c r="J78" s="1" t="n">
        <v>0</v>
      </c>
      <c r="O78" s="1" t="s">
        <v>27</v>
      </c>
      <c r="P78" s="1" t="s">
        <v>22</v>
      </c>
    </row>
    <row r="79" customFormat="false" ht="15" hidden="false" customHeight="false" outlineLevel="0" collapsed="false">
      <c r="A79" s="1" t="s">
        <v>294</v>
      </c>
      <c r="B79" s="1" t="s">
        <v>26</v>
      </c>
      <c r="C79" s="1" t="s">
        <v>83</v>
      </c>
      <c r="D79" s="1" t="s">
        <v>1061</v>
      </c>
      <c r="E79" s="1" t="s">
        <v>26</v>
      </c>
      <c r="F79" s="1" t="s">
        <v>83</v>
      </c>
      <c r="G79" s="1" t="s">
        <v>1062</v>
      </c>
      <c r="H79" s="1" t="n">
        <v>1</v>
      </c>
      <c r="I79" s="1" t="n">
        <v>1</v>
      </c>
      <c r="J79" s="1" t="n">
        <v>0</v>
      </c>
      <c r="O79" s="1" t="s">
        <v>26</v>
      </c>
      <c r="P79" s="1" t="s">
        <v>83</v>
      </c>
    </row>
    <row r="80" customFormat="false" ht="15" hidden="false" customHeight="false" outlineLevel="0" collapsed="false">
      <c r="A80" s="1" t="s">
        <v>297</v>
      </c>
      <c r="B80" s="1" t="s">
        <v>26</v>
      </c>
      <c r="C80" s="1" t="s">
        <v>300</v>
      </c>
      <c r="D80" s="1" t="s">
        <v>1063</v>
      </c>
      <c r="E80" s="1" t="s">
        <v>26</v>
      </c>
      <c r="F80" s="1" t="s">
        <v>300</v>
      </c>
      <c r="G80" s="1" t="s">
        <v>1064</v>
      </c>
      <c r="H80" s="1" t="n">
        <v>1</v>
      </c>
      <c r="I80" s="1" t="n">
        <v>1</v>
      </c>
      <c r="J80" s="1" t="n">
        <v>0</v>
      </c>
      <c r="O80" s="1" t="s">
        <v>26</v>
      </c>
      <c r="P80" s="1" t="s">
        <v>300</v>
      </c>
    </row>
    <row r="81" customFormat="false" ht="15" hidden="false" customHeight="false" outlineLevel="0" collapsed="false">
      <c r="A81" s="1" t="s">
        <v>301</v>
      </c>
      <c r="B81" s="1" t="s">
        <v>26</v>
      </c>
      <c r="C81" s="1" t="s">
        <v>50</v>
      </c>
      <c r="D81" s="38" t="s">
        <v>1065</v>
      </c>
      <c r="E81" s="1" t="s">
        <v>26</v>
      </c>
      <c r="F81" s="1" t="s">
        <v>50</v>
      </c>
      <c r="G81" s="1" t="s">
        <v>1066</v>
      </c>
      <c r="H81" s="1" t="n">
        <v>1</v>
      </c>
      <c r="I81" s="1" t="n">
        <v>1</v>
      </c>
      <c r="J81" s="1" t="n">
        <v>0</v>
      </c>
      <c r="O81" s="1" t="s">
        <v>26</v>
      </c>
      <c r="P81" s="1" t="s">
        <v>50</v>
      </c>
    </row>
    <row r="82" customFormat="false" ht="15" hidden="false" customHeight="false" outlineLevel="0" collapsed="false">
      <c r="A82" s="1" t="s">
        <v>304</v>
      </c>
      <c r="B82" s="1" t="s">
        <v>27</v>
      </c>
      <c r="C82" s="1" t="s">
        <v>50</v>
      </c>
      <c r="D82" s="1" t="s">
        <v>1067</v>
      </c>
      <c r="E82" s="1" t="s">
        <v>27</v>
      </c>
      <c r="F82" s="1" t="s">
        <v>50</v>
      </c>
      <c r="G82" s="1" t="s">
        <v>1068</v>
      </c>
      <c r="H82" s="1" t="n">
        <v>1</v>
      </c>
      <c r="I82" s="1" t="n">
        <v>1</v>
      </c>
      <c r="J82" s="1" t="n">
        <v>0</v>
      </c>
      <c r="O82" s="1" t="s">
        <v>27</v>
      </c>
      <c r="P82" s="1" t="s">
        <v>50</v>
      </c>
    </row>
    <row r="83" customFormat="false" ht="15" hidden="false" customHeight="false" outlineLevel="0" collapsed="false">
      <c r="A83" s="1" t="s">
        <v>306</v>
      </c>
      <c r="B83" s="1" t="s">
        <v>26</v>
      </c>
      <c r="C83" s="1" t="s">
        <v>166</v>
      </c>
      <c r="D83" s="1" t="s">
        <v>1069</v>
      </c>
      <c r="E83" s="1" t="s">
        <v>26</v>
      </c>
      <c r="F83" s="1" t="s">
        <v>166</v>
      </c>
      <c r="G83" s="1" t="s">
        <v>1070</v>
      </c>
      <c r="H83" s="1" t="n">
        <v>1</v>
      </c>
      <c r="I83" s="1" t="n">
        <v>1</v>
      </c>
      <c r="J83" s="1" t="n">
        <v>0</v>
      </c>
      <c r="O83" s="1" t="s">
        <v>26</v>
      </c>
      <c r="P83" s="1" t="s">
        <v>166</v>
      </c>
    </row>
    <row r="84" customFormat="false" ht="15" hidden="false" customHeight="false" outlineLevel="0" collapsed="false">
      <c r="A84" s="1" t="s">
        <v>309</v>
      </c>
      <c r="B84" s="1" t="s">
        <v>27</v>
      </c>
      <c r="C84" s="1" t="s">
        <v>311</v>
      </c>
      <c r="D84" s="1" t="s">
        <v>1071</v>
      </c>
      <c r="E84" s="1" t="s">
        <v>27</v>
      </c>
      <c r="F84" s="1" t="s">
        <v>311</v>
      </c>
      <c r="G84" s="1" t="s">
        <v>918</v>
      </c>
      <c r="H84" s="1" t="n">
        <v>1</v>
      </c>
      <c r="I84" s="1" t="n">
        <v>1</v>
      </c>
      <c r="J84" s="1" t="n">
        <v>0</v>
      </c>
      <c r="O84" s="1" t="s">
        <v>27</v>
      </c>
      <c r="P84" s="1" t="s">
        <v>311</v>
      </c>
    </row>
    <row r="85" customFormat="false" ht="15" hidden="false" customHeight="false" outlineLevel="0" collapsed="false">
      <c r="A85" s="1" t="s">
        <v>313</v>
      </c>
      <c r="B85" s="1" t="s">
        <v>26</v>
      </c>
      <c r="C85" s="1" t="s">
        <v>40</v>
      </c>
      <c r="D85" s="38" t="s">
        <v>1072</v>
      </c>
      <c r="E85" s="1" t="s">
        <v>26</v>
      </c>
      <c r="F85" s="1" t="s">
        <v>40</v>
      </c>
      <c r="G85" s="1" t="s">
        <v>1073</v>
      </c>
      <c r="H85" s="1" t="n">
        <v>1</v>
      </c>
      <c r="I85" s="1" t="n">
        <v>1</v>
      </c>
      <c r="J85" s="1" t="n">
        <v>0</v>
      </c>
      <c r="O85" s="1" t="s">
        <v>26</v>
      </c>
      <c r="P85" s="1" t="s">
        <v>40</v>
      </c>
    </row>
    <row r="86" customFormat="false" ht="15" hidden="false" customHeight="false" outlineLevel="0" collapsed="false">
      <c r="A86" s="1" t="s">
        <v>317</v>
      </c>
      <c r="B86" s="1" t="s">
        <v>20</v>
      </c>
      <c r="C86" s="1" t="s">
        <v>22</v>
      </c>
      <c r="D86" s="1" t="s">
        <v>1074</v>
      </c>
      <c r="E86" s="1" t="s">
        <v>20</v>
      </c>
      <c r="F86" s="1" t="s">
        <v>22</v>
      </c>
      <c r="G86" s="1" t="s">
        <v>1075</v>
      </c>
      <c r="H86" s="1" t="n">
        <v>1</v>
      </c>
      <c r="I86" s="1" t="n">
        <v>1</v>
      </c>
      <c r="J86" s="1" t="n">
        <v>0</v>
      </c>
      <c r="O86" s="1" t="s">
        <v>20</v>
      </c>
      <c r="P86" s="1" t="s">
        <v>22</v>
      </c>
    </row>
    <row r="87" customFormat="false" ht="15" hidden="false" customHeight="false" outlineLevel="0" collapsed="false">
      <c r="A87" s="1" t="s">
        <v>320</v>
      </c>
      <c r="B87" s="1" t="s">
        <v>27</v>
      </c>
      <c r="C87" s="1" t="s">
        <v>40</v>
      </c>
      <c r="D87" s="1" t="s">
        <v>1076</v>
      </c>
      <c r="E87" s="1" t="s">
        <v>27</v>
      </c>
      <c r="F87" s="1" t="s">
        <v>40</v>
      </c>
      <c r="G87" s="1" t="s">
        <v>1077</v>
      </c>
      <c r="H87" s="1" t="n">
        <v>1</v>
      </c>
      <c r="I87" s="1" t="n">
        <v>1</v>
      </c>
      <c r="J87" s="1" t="n">
        <v>0</v>
      </c>
      <c r="O87" s="1" t="s">
        <v>27</v>
      </c>
      <c r="P87" s="1" t="s">
        <v>40</v>
      </c>
    </row>
    <row r="88" customFormat="false" ht="15" hidden="false" customHeight="false" outlineLevel="0" collapsed="false">
      <c r="A88" s="1" t="s">
        <v>322</v>
      </c>
      <c r="B88" s="1" t="s">
        <v>26</v>
      </c>
      <c r="C88" s="1" t="s">
        <v>83</v>
      </c>
      <c r="D88" s="38" t="s">
        <v>1078</v>
      </c>
      <c r="E88" s="1" t="s">
        <v>26</v>
      </c>
      <c r="F88" s="1" t="s">
        <v>83</v>
      </c>
      <c r="G88" s="1" t="s">
        <v>1079</v>
      </c>
      <c r="H88" s="1" t="n">
        <v>1</v>
      </c>
      <c r="I88" s="1" t="n">
        <v>1</v>
      </c>
      <c r="J88" s="1" t="n">
        <v>0</v>
      </c>
      <c r="O88" s="1" t="s">
        <v>26</v>
      </c>
      <c r="P88" s="1" t="s">
        <v>83</v>
      </c>
    </row>
    <row r="89" customFormat="false" ht="15" hidden="false" customHeight="false" outlineLevel="0" collapsed="false">
      <c r="A89" s="1" t="s">
        <v>325</v>
      </c>
      <c r="B89" s="1" t="s">
        <v>20</v>
      </c>
      <c r="C89" s="1" t="s">
        <v>166</v>
      </c>
      <c r="D89" s="1" t="s">
        <v>1080</v>
      </c>
      <c r="E89" s="1" t="s">
        <v>20</v>
      </c>
      <c r="F89" s="1" t="s">
        <v>166</v>
      </c>
      <c r="G89" s="1" t="s">
        <v>1081</v>
      </c>
      <c r="H89" s="1" t="n">
        <v>1</v>
      </c>
      <c r="I89" s="1" t="n">
        <v>1</v>
      </c>
      <c r="J89" s="1" t="n">
        <v>0</v>
      </c>
      <c r="O89" s="1" t="s">
        <v>20</v>
      </c>
      <c r="P89" s="1" t="s">
        <v>166</v>
      </c>
    </row>
    <row r="90" customFormat="false" ht="15" hidden="false" customHeight="false" outlineLevel="0" collapsed="false">
      <c r="A90" s="1" t="s">
        <v>328</v>
      </c>
      <c r="B90" s="1" t="s">
        <v>20</v>
      </c>
      <c r="C90" s="1" t="s">
        <v>40</v>
      </c>
      <c r="D90" s="38" t="s">
        <v>1082</v>
      </c>
      <c r="E90" s="1" t="s">
        <v>20</v>
      </c>
      <c r="F90" s="1" t="s">
        <v>40</v>
      </c>
      <c r="G90" s="1" t="s">
        <v>1083</v>
      </c>
      <c r="H90" s="1" t="n">
        <v>1</v>
      </c>
      <c r="I90" s="1" t="n">
        <v>1</v>
      </c>
      <c r="J90" s="1" t="n">
        <v>0</v>
      </c>
      <c r="O90" s="1" t="s">
        <v>20</v>
      </c>
      <c r="P90" s="1" t="s">
        <v>40</v>
      </c>
    </row>
    <row r="91" customFormat="false" ht="15" hidden="false" customHeight="false" outlineLevel="0" collapsed="false">
      <c r="A91" s="1" t="s">
        <v>331</v>
      </c>
      <c r="B91" s="1" t="s">
        <v>27</v>
      </c>
      <c r="C91" s="1" t="s">
        <v>40</v>
      </c>
      <c r="D91" s="1" t="s">
        <v>1084</v>
      </c>
      <c r="E91" s="1" t="s">
        <v>27</v>
      </c>
      <c r="F91" s="1" t="s">
        <v>40</v>
      </c>
      <c r="G91" s="1" t="s">
        <v>1085</v>
      </c>
      <c r="H91" s="1" t="n">
        <v>1</v>
      </c>
      <c r="I91" s="1" t="n">
        <v>1</v>
      </c>
      <c r="J91" s="1" t="n">
        <v>0</v>
      </c>
      <c r="O91" s="1" t="s">
        <v>27</v>
      </c>
      <c r="P91" s="1" t="s">
        <v>40</v>
      </c>
    </row>
    <row r="92" customFormat="false" ht="15" hidden="false" customHeight="false" outlineLevel="0" collapsed="false">
      <c r="A92" s="1" t="s">
        <v>333</v>
      </c>
      <c r="D92" s="1"/>
      <c r="E92" s="1" t="s">
        <v>26</v>
      </c>
      <c r="F92" s="1" t="s">
        <v>582</v>
      </c>
      <c r="G92" s="1" t="s">
        <v>1086</v>
      </c>
      <c r="H92" s="1" t="n">
        <v>0</v>
      </c>
      <c r="I92" s="1" t="n">
        <v>0</v>
      </c>
      <c r="J92" s="1" t="n">
        <v>0</v>
      </c>
    </row>
    <row r="93" customFormat="false" ht="15" hidden="false" customHeight="false" outlineLevel="0" collapsed="false">
      <c r="A93" s="1" t="s">
        <v>337</v>
      </c>
      <c r="B93" s="1" t="s">
        <v>27</v>
      </c>
      <c r="C93" s="1" t="s">
        <v>46</v>
      </c>
      <c r="D93" s="1" t="s">
        <v>1087</v>
      </c>
      <c r="E93" s="1" t="s">
        <v>27</v>
      </c>
      <c r="F93" s="1" t="s">
        <v>46</v>
      </c>
      <c r="G93" s="1" t="s">
        <v>1088</v>
      </c>
      <c r="H93" s="1" t="n">
        <v>1</v>
      </c>
      <c r="I93" s="1" t="n">
        <v>1</v>
      </c>
      <c r="J93" s="1" t="n">
        <v>0</v>
      </c>
      <c r="O93" s="1" t="s">
        <v>27</v>
      </c>
      <c r="P93" s="1" t="s">
        <v>46</v>
      </c>
    </row>
    <row r="94" customFormat="false" ht="15" hidden="false" customHeight="false" outlineLevel="0" collapsed="false">
      <c r="A94" s="1" t="s">
        <v>339</v>
      </c>
      <c r="B94" s="1" t="s">
        <v>26</v>
      </c>
      <c r="C94" s="1" t="s">
        <v>22</v>
      </c>
      <c r="D94" s="1" t="s">
        <v>1089</v>
      </c>
      <c r="E94" s="1" t="s">
        <v>26</v>
      </c>
      <c r="F94" s="1" t="s">
        <v>22</v>
      </c>
      <c r="G94" s="1" t="s">
        <v>1090</v>
      </c>
      <c r="H94" s="1" t="n">
        <v>1</v>
      </c>
      <c r="I94" s="1" t="n">
        <v>1</v>
      </c>
      <c r="J94" s="1" t="n">
        <v>0</v>
      </c>
      <c r="O94" s="1" t="s">
        <v>26</v>
      </c>
      <c r="P94" s="1" t="s">
        <v>22</v>
      </c>
    </row>
    <row r="95" customFormat="false" ht="15" hidden="false" customHeight="false" outlineLevel="0" collapsed="false">
      <c r="A95" s="1" t="s">
        <v>342</v>
      </c>
      <c r="B95" s="1" t="s">
        <v>26</v>
      </c>
      <c r="C95" s="1" t="s">
        <v>130</v>
      </c>
      <c r="D95" s="38" t="s">
        <v>1091</v>
      </c>
      <c r="E95" s="1" t="s">
        <v>26</v>
      </c>
      <c r="F95" s="1" t="s">
        <v>130</v>
      </c>
      <c r="G95" s="1" t="s">
        <v>1092</v>
      </c>
      <c r="H95" s="1" t="n">
        <v>1</v>
      </c>
      <c r="I95" s="1" t="n">
        <v>1</v>
      </c>
      <c r="J95" s="1" t="n">
        <v>0</v>
      </c>
      <c r="O95" s="1" t="s">
        <v>26</v>
      </c>
      <c r="P95" s="1" t="s">
        <v>130</v>
      </c>
    </row>
    <row r="96" customFormat="false" ht="15" hidden="false" customHeight="false" outlineLevel="0" collapsed="false">
      <c r="A96" s="1" t="s">
        <v>345</v>
      </c>
      <c r="B96" s="1" t="s">
        <v>20</v>
      </c>
      <c r="C96" s="1" t="s">
        <v>46</v>
      </c>
      <c r="D96" s="1" t="s">
        <v>1093</v>
      </c>
      <c r="E96" s="1" t="s">
        <v>20</v>
      </c>
      <c r="F96" s="1" t="s">
        <v>46</v>
      </c>
      <c r="G96" s="1" t="s">
        <v>1094</v>
      </c>
      <c r="H96" s="1" t="n">
        <v>1</v>
      </c>
      <c r="I96" s="1" t="n">
        <v>1</v>
      </c>
      <c r="J96" s="1" t="n">
        <v>0</v>
      </c>
      <c r="O96" s="1" t="s">
        <v>20</v>
      </c>
      <c r="P96" s="1" t="s">
        <v>46</v>
      </c>
    </row>
    <row r="97" customFormat="false" ht="15" hidden="false" customHeight="false" outlineLevel="0" collapsed="false">
      <c r="A97" s="1" t="s">
        <v>348</v>
      </c>
      <c r="B97" s="1" t="s">
        <v>26</v>
      </c>
      <c r="C97" s="1" t="s">
        <v>40</v>
      </c>
      <c r="D97" s="1" t="s">
        <v>1095</v>
      </c>
      <c r="E97" s="1" t="s">
        <v>26</v>
      </c>
      <c r="F97" s="1" t="s">
        <v>40</v>
      </c>
      <c r="G97" s="1" t="s">
        <v>1096</v>
      </c>
      <c r="H97" s="1" t="n">
        <v>1</v>
      </c>
      <c r="I97" s="1" t="n">
        <v>1</v>
      </c>
      <c r="J97" s="1" t="n">
        <v>0</v>
      </c>
      <c r="O97" s="1" t="s">
        <v>26</v>
      </c>
      <c r="P97" s="1" t="s">
        <v>40</v>
      </c>
    </row>
    <row r="98" customFormat="false" ht="15" hidden="false" customHeight="false" outlineLevel="0" collapsed="false">
      <c r="A98" s="1" t="s">
        <v>351</v>
      </c>
      <c r="B98" s="1" t="s">
        <v>27</v>
      </c>
      <c r="C98" s="1" t="s">
        <v>22</v>
      </c>
      <c r="D98" s="1" t="s">
        <v>1097</v>
      </c>
      <c r="E98" s="1" t="s">
        <v>27</v>
      </c>
      <c r="F98" s="1" t="s">
        <v>22</v>
      </c>
      <c r="G98" s="1" t="s">
        <v>1098</v>
      </c>
      <c r="H98" s="1" t="n">
        <v>1</v>
      </c>
      <c r="I98" s="1" t="n">
        <v>1</v>
      </c>
      <c r="J98" s="1" t="n">
        <v>0</v>
      </c>
      <c r="O98" s="1" t="s">
        <v>27</v>
      </c>
      <c r="P98" s="1" t="s">
        <v>22</v>
      </c>
    </row>
    <row r="99" customFormat="false" ht="15" hidden="false" customHeight="false" outlineLevel="0" collapsed="false">
      <c r="A99" s="1" t="s">
        <v>354</v>
      </c>
      <c r="B99" s="1" t="s">
        <v>26</v>
      </c>
      <c r="C99" s="1" t="s">
        <v>22</v>
      </c>
      <c r="D99" s="1" t="s">
        <v>1099</v>
      </c>
      <c r="E99" s="1" t="s">
        <v>26</v>
      </c>
      <c r="F99" s="1" t="s">
        <v>22</v>
      </c>
      <c r="G99" s="1" t="s">
        <v>1100</v>
      </c>
      <c r="H99" s="1" t="n">
        <v>1</v>
      </c>
      <c r="I99" s="1" t="n">
        <v>1</v>
      </c>
      <c r="J99" s="1" t="n">
        <v>0</v>
      </c>
      <c r="O99" s="1" t="s">
        <v>26</v>
      </c>
      <c r="P99" s="1" t="s">
        <v>22</v>
      </c>
    </row>
    <row r="100" customFormat="false" ht="15" hidden="false" customHeight="false" outlineLevel="0" collapsed="false">
      <c r="A100" s="1" t="s">
        <v>358</v>
      </c>
      <c r="B100" s="1" t="s">
        <v>27</v>
      </c>
      <c r="C100" s="1" t="s">
        <v>46</v>
      </c>
      <c r="D100" s="38" t="s">
        <v>1101</v>
      </c>
      <c r="E100" s="1" t="s">
        <v>27</v>
      </c>
      <c r="F100" s="1" t="s">
        <v>46</v>
      </c>
      <c r="G100" s="1" t="s">
        <v>1102</v>
      </c>
      <c r="H100" s="1" t="n">
        <v>1</v>
      </c>
      <c r="I100" s="1" t="n">
        <v>1</v>
      </c>
      <c r="J100" s="1" t="n">
        <v>0</v>
      </c>
      <c r="O100" s="1" t="s">
        <v>27</v>
      </c>
      <c r="P100" s="1" t="s">
        <v>46</v>
      </c>
    </row>
    <row r="101" customFormat="false" ht="15" hidden="false" customHeight="false" outlineLevel="0" collapsed="false">
      <c r="A101" s="1" t="s">
        <v>360</v>
      </c>
      <c r="B101" s="1" t="s">
        <v>20</v>
      </c>
      <c r="C101" s="1" t="s">
        <v>22</v>
      </c>
      <c r="D101" s="1" t="s">
        <v>1103</v>
      </c>
      <c r="E101" s="1" t="s">
        <v>20</v>
      </c>
      <c r="F101" s="1" t="s">
        <v>22</v>
      </c>
      <c r="G101" s="1" t="s">
        <v>1104</v>
      </c>
      <c r="H101" s="1" t="n">
        <v>1</v>
      </c>
      <c r="I101" s="1" t="n">
        <v>1</v>
      </c>
      <c r="J101" s="1" t="n">
        <v>0</v>
      </c>
      <c r="O101" s="1" t="s">
        <v>20</v>
      </c>
      <c r="P101" s="1" t="s">
        <v>22</v>
      </c>
    </row>
    <row r="102" customFormat="false" ht="15" hidden="false" customHeight="false" outlineLevel="0" collapsed="false">
      <c r="A102" s="1" t="s">
        <v>363</v>
      </c>
      <c r="B102" s="1" t="s">
        <v>20</v>
      </c>
      <c r="C102" s="1" t="s">
        <v>40</v>
      </c>
      <c r="D102" s="38" t="s">
        <v>1105</v>
      </c>
      <c r="E102" s="1" t="s">
        <v>20</v>
      </c>
      <c r="F102" s="1" t="s">
        <v>40</v>
      </c>
      <c r="G102" s="1" t="s">
        <v>1106</v>
      </c>
      <c r="H102" s="1" t="n">
        <v>1</v>
      </c>
      <c r="I102" s="1" t="n">
        <v>1</v>
      </c>
      <c r="J102" s="1" t="n">
        <v>0</v>
      </c>
      <c r="O102" s="1" t="s">
        <v>20</v>
      </c>
      <c r="P102" s="1" t="s">
        <v>40</v>
      </c>
    </row>
    <row r="103" customFormat="false" ht="15" hidden="false" customHeight="false" outlineLevel="0" collapsed="false">
      <c r="A103" s="1" t="s">
        <v>366</v>
      </c>
      <c r="B103" s="1" t="s">
        <v>20</v>
      </c>
      <c r="C103" s="1" t="s">
        <v>40</v>
      </c>
      <c r="D103" s="1" t="s">
        <v>1107</v>
      </c>
      <c r="E103" s="1" t="s">
        <v>20</v>
      </c>
      <c r="F103" s="1" t="s">
        <v>40</v>
      </c>
      <c r="G103" s="1" t="s">
        <v>1108</v>
      </c>
      <c r="H103" s="1" t="n">
        <v>1</v>
      </c>
      <c r="I103" s="1" t="n">
        <v>1</v>
      </c>
      <c r="J103" s="1" t="n">
        <v>0</v>
      </c>
      <c r="O103" s="1" t="s">
        <v>20</v>
      </c>
      <c r="P103" s="1" t="s">
        <v>40</v>
      </c>
    </row>
    <row r="104" customFormat="false" ht="15" hidden="false" customHeight="false" outlineLevel="0" collapsed="false">
      <c r="A104" s="1" t="s">
        <v>368</v>
      </c>
      <c r="B104" s="1" t="s">
        <v>20</v>
      </c>
      <c r="C104" s="1" t="s">
        <v>40</v>
      </c>
      <c r="D104" s="38" t="s">
        <v>1109</v>
      </c>
      <c r="E104" s="1" t="s">
        <v>20</v>
      </c>
      <c r="F104" s="1" t="s">
        <v>40</v>
      </c>
      <c r="G104" s="1" t="s">
        <v>1110</v>
      </c>
      <c r="H104" s="1" t="n">
        <v>1</v>
      </c>
      <c r="I104" s="1" t="n">
        <v>1</v>
      </c>
      <c r="J104" s="1" t="n">
        <v>0</v>
      </c>
      <c r="O104" s="1" t="s">
        <v>20</v>
      </c>
      <c r="P104" s="1" t="s">
        <v>40</v>
      </c>
    </row>
    <row r="105" customFormat="false" ht="15" hidden="false" customHeight="false" outlineLevel="0" collapsed="false">
      <c r="A105" s="1" t="s">
        <v>372</v>
      </c>
      <c r="B105" s="1" t="s">
        <v>20</v>
      </c>
      <c r="C105" s="1" t="s">
        <v>22</v>
      </c>
      <c r="D105" s="1" t="s">
        <v>1111</v>
      </c>
      <c r="E105" s="1" t="s">
        <v>20</v>
      </c>
      <c r="F105" s="1" t="s">
        <v>22</v>
      </c>
      <c r="G105" s="1" t="s">
        <v>1112</v>
      </c>
      <c r="H105" s="1" t="n">
        <v>1</v>
      </c>
      <c r="I105" s="1" t="n">
        <v>1</v>
      </c>
      <c r="J105" s="1" t="n">
        <v>0</v>
      </c>
      <c r="O105" s="1" t="s">
        <v>20</v>
      </c>
      <c r="P105" s="1" t="s">
        <v>22</v>
      </c>
    </row>
    <row r="106" customFormat="false" ht="15" hidden="false" customHeight="false" outlineLevel="0" collapsed="false">
      <c r="A106" s="1" t="s">
        <v>375</v>
      </c>
      <c r="B106" s="1" t="s">
        <v>26</v>
      </c>
      <c r="C106" s="1" t="s">
        <v>22</v>
      </c>
      <c r="D106" s="1" t="s">
        <v>1113</v>
      </c>
      <c r="E106" s="1" t="s">
        <v>26</v>
      </c>
      <c r="F106" s="1" t="s">
        <v>22</v>
      </c>
      <c r="G106" s="1" t="s">
        <v>1114</v>
      </c>
      <c r="H106" s="1" t="n">
        <v>1</v>
      </c>
      <c r="I106" s="1" t="n">
        <v>1</v>
      </c>
      <c r="J106" s="1" t="n">
        <v>0</v>
      </c>
      <c r="O106" s="1" t="s">
        <v>26</v>
      </c>
      <c r="P106" s="1" t="s">
        <v>22</v>
      </c>
    </row>
    <row r="107" customFormat="false" ht="15" hidden="false" customHeight="false" outlineLevel="0" collapsed="false">
      <c r="A107" s="1" t="s">
        <v>378</v>
      </c>
      <c r="B107" s="1" t="s">
        <v>26</v>
      </c>
      <c r="C107" s="1" t="s">
        <v>33</v>
      </c>
      <c r="D107" s="38" t="s">
        <v>1115</v>
      </c>
      <c r="E107" s="1" t="s">
        <v>26</v>
      </c>
      <c r="F107" s="1" t="s">
        <v>33</v>
      </c>
      <c r="G107" s="1" t="s">
        <v>1116</v>
      </c>
      <c r="H107" s="1" t="n">
        <v>1</v>
      </c>
      <c r="I107" s="1" t="n">
        <v>1</v>
      </c>
      <c r="J107" s="1" t="n">
        <v>0</v>
      </c>
      <c r="O107" s="1" t="s">
        <v>26</v>
      </c>
      <c r="P107" s="1" t="s">
        <v>33</v>
      </c>
    </row>
    <row r="108" customFormat="false" ht="15" hidden="false" customHeight="false" outlineLevel="0" collapsed="false">
      <c r="A108" s="1" t="s">
        <v>382</v>
      </c>
      <c r="B108" s="1" t="s">
        <v>31</v>
      </c>
      <c r="C108" s="1" t="s">
        <v>22</v>
      </c>
      <c r="D108" s="38" t="s">
        <v>1117</v>
      </c>
      <c r="E108" s="1" t="s">
        <v>31</v>
      </c>
      <c r="F108" s="1" t="s">
        <v>22</v>
      </c>
      <c r="G108" s="1" t="s">
        <v>1118</v>
      </c>
      <c r="H108" s="1" t="n">
        <v>1</v>
      </c>
      <c r="I108" s="1" t="n">
        <v>1</v>
      </c>
      <c r="J108" s="1" t="n">
        <v>0</v>
      </c>
      <c r="O108" s="1" t="s">
        <v>31</v>
      </c>
      <c r="P108" s="1" t="s">
        <v>22</v>
      </c>
    </row>
    <row r="109" customFormat="false" ht="15" hidden="false" customHeight="false" outlineLevel="0" collapsed="false">
      <c r="A109" s="1" t="s">
        <v>384</v>
      </c>
      <c r="B109" s="1" t="s">
        <v>26</v>
      </c>
      <c r="C109" s="1" t="s">
        <v>83</v>
      </c>
      <c r="D109" s="1" t="s">
        <v>1119</v>
      </c>
      <c r="E109" s="1" t="s">
        <v>26</v>
      </c>
      <c r="F109" s="1" t="s">
        <v>110</v>
      </c>
      <c r="G109" s="1" t="s">
        <v>1120</v>
      </c>
      <c r="H109" s="1" t="n">
        <v>1</v>
      </c>
      <c r="I109" s="1" t="n">
        <v>0</v>
      </c>
      <c r="J109" s="1" t="n">
        <v>1</v>
      </c>
      <c r="K109" s="1" t="s">
        <v>26</v>
      </c>
      <c r="L109" s="1" t="s">
        <v>110</v>
      </c>
      <c r="M109" s="1" t="s">
        <v>1121</v>
      </c>
      <c r="N109" s="1" t="s">
        <v>914</v>
      </c>
      <c r="O109" s="1" t="s">
        <v>26</v>
      </c>
      <c r="P109" s="1" t="s">
        <v>110</v>
      </c>
    </row>
    <row r="110" customFormat="false" ht="15" hidden="false" customHeight="false" outlineLevel="0" collapsed="false">
      <c r="A110" s="1" t="s">
        <v>388</v>
      </c>
      <c r="B110" s="1" t="s">
        <v>26</v>
      </c>
      <c r="C110" s="1" t="s">
        <v>58</v>
      </c>
      <c r="D110" s="1" t="s">
        <v>1122</v>
      </c>
      <c r="E110" s="1" t="s">
        <v>26</v>
      </c>
      <c r="F110" s="1" t="s">
        <v>58</v>
      </c>
      <c r="G110" s="1" t="s">
        <v>1123</v>
      </c>
      <c r="H110" s="1" t="n">
        <v>1</v>
      </c>
      <c r="I110" s="1" t="n">
        <v>1</v>
      </c>
      <c r="J110" s="1" t="n">
        <v>0</v>
      </c>
      <c r="O110" s="1" t="s">
        <v>26</v>
      </c>
      <c r="P110" s="1" t="s">
        <v>58</v>
      </c>
    </row>
    <row r="111" customFormat="false" ht="15" hidden="false" customHeight="false" outlineLevel="0" collapsed="false">
      <c r="A111" s="1" t="s">
        <v>391</v>
      </c>
      <c r="B111" s="1" t="s">
        <v>31</v>
      </c>
      <c r="C111" s="1" t="s">
        <v>33</v>
      </c>
      <c r="D111" s="1" t="s">
        <v>1124</v>
      </c>
      <c r="E111" s="1" t="s">
        <v>31</v>
      </c>
      <c r="F111" s="1" t="s">
        <v>33</v>
      </c>
      <c r="G111" s="1" t="s">
        <v>1125</v>
      </c>
      <c r="H111" s="1" t="n">
        <v>1</v>
      </c>
      <c r="I111" s="1" t="n">
        <v>1</v>
      </c>
      <c r="J111" s="1" t="n">
        <v>0</v>
      </c>
      <c r="O111" s="1" t="s">
        <v>31</v>
      </c>
      <c r="P111" s="1" t="s">
        <v>33</v>
      </c>
    </row>
    <row r="112" customFormat="false" ht="15" hidden="false" customHeight="false" outlineLevel="0" collapsed="false">
      <c r="A112" s="1" t="s">
        <v>392</v>
      </c>
      <c r="B112" s="1" t="s">
        <v>26</v>
      </c>
      <c r="C112" s="1" t="s">
        <v>22</v>
      </c>
      <c r="D112" s="38" t="s">
        <v>1126</v>
      </c>
      <c r="E112" s="1" t="s">
        <v>26</v>
      </c>
      <c r="F112" s="1" t="s">
        <v>22</v>
      </c>
      <c r="G112" s="1" t="s">
        <v>1127</v>
      </c>
      <c r="H112" s="1" t="n">
        <v>1</v>
      </c>
      <c r="I112" s="1" t="n">
        <v>1</v>
      </c>
      <c r="J112" s="1" t="n">
        <v>0</v>
      </c>
      <c r="O112" s="1" t="s">
        <v>26</v>
      </c>
      <c r="P112" s="1" t="s">
        <v>22</v>
      </c>
    </row>
    <row r="113" customFormat="false" ht="15" hidden="false" customHeight="false" outlineLevel="0" collapsed="false">
      <c r="A113" s="1" t="s">
        <v>395</v>
      </c>
      <c r="B113" s="1" t="s">
        <v>20</v>
      </c>
      <c r="C113" s="1" t="s">
        <v>33</v>
      </c>
      <c r="D113" s="38" t="s">
        <v>1128</v>
      </c>
      <c r="E113" s="1" t="s">
        <v>20</v>
      </c>
      <c r="F113" s="1" t="s">
        <v>33</v>
      </c>
      <c r="G113" s="1" t="s">
        <v>1129</v>
      </c>
      <c r="H113" s="1" t="n">
        <v>1</v>
      </c>
      <c r="I113" s="1" t="n">
        <v>1</v>
      </c>
      <c r="J113" s="1" t="n">
        <v>0</v>
      </c>
      <c r="O113" s="1" t="s">
        <v>20</v>
      </c>
      <c r="P113" s="1" t="s">
        <v>33</v>
      </c>
    </row>
    <row r="114" customFormat="false" ht="15" hidden="false" customHeight="false" outlineLevel="0" collapsed="false">
      <c r="A114" s="1" t="s">
        <v>398</v>
      </c>
      <c r="B114" s="1" t="s">
        <v>26</v>
      </c>
      <c r="C114" s="1" t="s">
        <v>22</v>
      </c>
      <c r="D114" s="38" t="s">
        <v>1130</v>
      </c>
      <c r="E114" s="1" t="s">
        <v>26</v>
      </c>
      <c r="F114" s="1" t="s">
        <v>22</v>
      </c>
      <c r="G114" s="1" t="s">
        <v>1131</v>
      </c>
      <c r="H114" s="1" t="n">
        <v>1</v>
      </c>
      <c r="I114" s="1" t="n">
        <v>1</v>
      </c>
      <c r="J114" s="1" t="n">
        <v>0</v>
      </c>
      <c r="O114" s="1" t="s">
        <v>26</v>
      </c>
      <c r="P114" s="1" t="s">
        <v>22</v>
      </c>
    </row>
    <row r="115" customFormat="false" ht="15" hidden="false" customHeight="false" outlineLevel="0" collapsed="false">
      <c r="A115" s="1" t="s">
        <v>400</v>
      </c>
      <c r="B115" s="1" t="s">
        <v>26</v>
      </c>
      <c r="C115" s="1" t="s">
        <v>33</v>
      </c>
      <c r="D115" s="1" t="s">
        <v>1132</v>
      </c>
      <c r="E115" s="1" t="s">
        <v>26</v>
      </c>
      <c r="F115" s="1" t="s">
        <v>33</v>
      </c>
      <c r="G115" s="1" t="s">
        <v>1133</v>
      </c>
      <c r="H115" s="1" t="n">
        <v>1</v>
      </c>
      <c r="I115" s="1" t="n">
        <v>1</v>
      </c>
      <c r="J115" s="1" t="n">
        <v>0</v>
      </c>
      <c r="O115" s="1" t="s">
        <v>26</v>
      </c>
      <c r="P115" s="1" t="s">
        <v>33</v>
      </c>
    </row>
    <row r="116" customFormat="false" ht="15" hidden="false" customHeight="false" outlineLevel="0" collapsed="false">
      <c r="A116" s="1" t="s">
        <v>404</v>
      </c>
      <c r="B116" s="1" t="s">
        <v>27</v>
      </c>
      <c r="C116" s="1" t="s">
        <v>40</v>
      </c>
      <c r="D116" s="1" t="s">
        <v>1134</v>
      </c>
      <c r="E116" s="1" t="s">
        <v>27</v>
      </c>
      <c r="F116" s="1" t="s">
        <v>40</v>
      </c>
      <c r="G116" s="1" t="s">
        <v>1077</v>
      </c>
      <c r="H116" s="1" t="n">
        <v>1</v>
      </c>
      <c r="I116" s="1" t="n">
        <v>1</v>
      </c>
      <c r="J116" s="1" t="n">
        <v>0</v>
      </c>
      <c r="O116" s="1" t="s">
        <v>27</v>
      </c>
      <c r="P116" s="1" t="s">
        <v>40</v>
      </c>
    </row>
    <row r="117" customFormat="false" ht="15" hidden="false" customHeight="false" outlineLevel="0" collapsed="false">
      <c r="A117" s="1" t="s">
        <v>407</v>
      </c>
      <c r="B117" s="1" t="s">
        <v>26</v>
      </c>
      <c r="C117" s="1" t="s">
        <v>22</v>
      </c>
      <c r="D117" s="38" t="s">
        <v>1135</v>
      </c>
      <c r="E117" s="1" t="s">
        <v>26</v>
      </c>
      <c r="F117" s="1" t="s">
        <v>22</v>
      </c>
      <c r="G117" s="1" t="s">
        <v>1136</v>
      </c>
      <c r="H117" s="1" t="n">
        <v>1</v>
      </c>
      <c r="I117" s="1" t="n">
        <v>1</v>
      </c>
      <c r="J117" s="1" t="n">
        <v>0</v>
      </c>
      <c r="O117" s="1" t="s">
        <v>26</v>
      </c>
      <c r="P117" s="1" t="s">
        <v>22</v>
      </c>
    </row>
    <row r="118" customFormat="false" ht="15" hidden="false" customHeight="false" outlineLevel="0" collapsed="false">
      <c r="A118" s="1" t="s">
        <v>410</v>
      </c>
      <c r="B118" s="1" t="s">
        <v>26</v>
      </c>
      <c r="C118" s="1" t="s">
        <v>300</v>
      </c>
      <c r="D118" s="38" t="s">
        <v>1137</v>
      </c>
      <c r="E118" s="1" t="s">
        <v>26</v>
      </c>
      <c r="F118" s="1" t="s">
        <v>300</v>
      </c>
      <c r="G118" s="1" t="s">
        <v>1138</v>
      </c>
      <c r="H118" s="1" t="n">
        <v>1</v>
      </c>
      <c r="I118" s="1" t="n">
        <v>1</v>
      </c>
      <c r="J118" s="1" t="n">
        <v>0</v>
      </c>
      <c r="O118" s="1" t="s">
        <v>26</v>
      </c>
      <c r="P118" s="1" t="s">
        <v>300</v>
      </c>
    </row>
    <row r="119" customFormat="false" ht="15" hidden="false" customHeight="false" outlineLevel="0" collapsed="false">
      <c r="A119" s="1" t="s">
        <v>413</v>
      </c>
      <c r="B119" s="1" t="s">
        <v>26</v>
      </c>
      <c r="C119" s="1" t="s">
        <v>78</v>
      </c>
      <c r="D119" s="38" t="s">
        <v>1139</v>
      </c>
      <c r="E119" s="1" t="s">
        <v>26</v>
      </c>
      <c r="F119" s="1" t="s">
        <v>78</v>
      </c>
      <c r="G119" s="1" t="s">
        <v>1140</v>
      </c>
      <c r="H119" s="1" t="n">
        <v>1</v>
      </c>
      <c r="I119" s="1" t="n">
        <v>1</v>
      </c>
      <c r="J119" s="1" t="n">
        <v>0</v>
      </c>
      <c r="O119" s="1" t="s">
        <v>26</v>
      </c>
      <c r="P119" s="1" t="s">
        <v>78</v>
      </c>
    </row>
    <row r="120" customFormat="false" ht="15" hidden="false" customHeight="false" outlineLevel="0" collapsed="false">
      <c r="A120" s="1" t="s">
        <v>416</v>
      </c>
      <c r="B120" s="1" t="s">
        <v>20</v>
      </c>
      <c r="C120" s="1" t="s">
        <v>22</v>
      </c>
      <c r="D120" s="1" t="s">
        <v>1141</v>
      </c>
      <c r="E120" s="1" t="s">
        <v>20</v>
      </c>
      <c r="F120" s="1" t="s">
        <v>22</v>
      </c>
      <c r="G120" s="1" t="s">
        <v>899</v>
      </c>
      <c r="H120" s="1" t="n">
        <v>1</v>
      </c>
      <c r="I120" s="1" t="n">
        <v>1</v>
      </c>
      <c r="J120" s="1" t="n">
        <v>0</v>
      </c>
      <c r="O120" s="1" t="s">
        <v>20</v>
      </c>
      <c r="P120" s="1" t="s">
        <v>22</v>
      </c>
    </row>
    <row r="121" customFormat="false" ht="15" hidden="false" customHeight="false" outlineLevel="0" collapsed="false">
      <c r="A121" s="1" t="s">
        <v>419</v>
      </c>
      <c r="B121" s="1" t="s">
        <v>27</v>
      </c>
      <c r="C121" s="1" t="s">
        <v>421</v>
      </c>
      <c r="D121" s="1" t="s">
        <v>1142</v>
      </c>
      <c r="E121" s="1" t="s">
        <v>27</v>
      </c>
      <c r="F121" s="1" t="s">
        <v>421</v>
      </c>
      <c r="G121" s="1" t="s">
        <v>1143</v>
      </c>
      <c r="H121" s="1" t="n">
        <v>1</v>
      </c>
      <c r="I121" s="1" t="n">
        <v>1</v>
      </c>
      <c r="J121" s="1" t="n">
        <v>0</v>
      </c>
      <c r="O121" s="1" t="s">
        <v>27</v>
      </c>
      <c r="P121" s="1" t="s">
        <v>421</v>
      </c>
    </row>
    <row r="122" customFormat="false" ht="15" hidden="false" customHeight="false" outlineLevel="0" collapsed="false">
      <c r="A122" s="1" t="s">
        <v>422</v>
      </c>
      <c r="B122" s="1" t="s">
        <v>26</v>
      </c>
      <c r="C122" s="1" t="s">
        <v>166</v>
      </c>
      <c r="D122" s="38" t="s">
        <v>1144</v>
      </c>
      <c r="E122" s="1" t="s">
        <v>26</v>
      </c>
      <c r="F122" s="1" t="s">
        <v>166</v>
      </c>
      <c r="G122" s="1" t="s">
        <v>1145</v>
      </c>
      <c r="H122" s="1" t="n">
        <v>1</v>
      </c>
      <c r="I122" s="1" t="n">
        <v>1</v>
      </c>
      <c r="J122" s="1" t="n">
        <v>0</v>
      </c>
      <c r="O122" s="1" t="s">
        <v>26</v>
      </c>
      <c r="P122" s="1" t="s">
        <v>166</v>
      </c>
    </row>
    <row r="123" customFormat="false" ht="15" hidden="false" customHeight="false" outlineLevel="0" collapsed="false">
      <c r="A123" s="1" t="s">
        <v>427</v>
      </c>
      <c r="B123" s="1" t="s">
        <v>26</v>
      </c>
      <c r="C123" s="1" t="s">
        <v>46</v>
      </c>
      <c r="D123" s="38" t="s">
        <v>1146</v>
      </c>
      <c r="E123" s="1" t="s">
        <v>26</v>
      </c>
      <c r="F123" s="1" t="s">
        <v>46</v>
      </c>
      <c r="G123" s="1" t="s">
        <v>1147</v>
      </c>
      <c r="H123" s="1" t="n">
        <v>1</v>
      </c>
      <c r="I123" s="1" t="n">
        <v>1</v>
      </c>
      <c r="J123" s="1" t="n">
        <v>0</v>
      </c>
      <c r="O123" s="1" t="s">
        <v>26</v>
      </c>
      <c r="P123" s="1" t="s">
        <v>46</v>
      </c>
    </row>
    <row r="124" customFormat="false" ht="15" hidden="false" customHeight="false" outlineLevel="0" collapsed="false">
      <c r="A124" s="1" t="s">
        <v>431</v>
      </c>
      <c r="B124" s="1" t="s">
        <v>26</v>
      </c>
      <c r="C124" s="1" t="s">
        <v>40</v>
      </c>
      <c r="D124" s="1" t="s">
        <v>1148</v>
      </c>
      <c r="E124" s="1" t="s">
        <v>27</v>
      </c>
      <c r="F124" s="1" t="s">
        <v>40</v>
      </c>
      <c r="G124" s="1" t="s">
        <v>1149</v>
      </c>
      <c r="H124" s="1" t="n">
        <v>0</v>
      </c>
      <c r="I124" s="1" t="n">
        <v>1</v>
      </c>
      <c r="J124" s="1" t="n">
        <v>1</v>
      </c>
      <c r="K124" s="1" t="s">
        <v>26</v>
      </c>
      <c r="L124" s="1" t="s">
        <v>40</v>
      </c>
      <c r="M124" s="1" t="s">
        <v>1150</v>
      </c>
      <c r="N124" s="1" t="s">
        <v>903</v>
      </c>
      <c r="O124" s="1" t="s">
        <v>26</v>
      </c>
      <c r="P124" s="1" t="s">
        <v>40</v>
      </c>
    </row>
    <row r="125" customFormat="false" ht="15" hidden="false" customHeight="false" outlineLevel="0" collapsed="false">
      <c r="A125" s="1" t="s">
        <v>435</v>
      </c>
      <c r="B125" s="1" t="s">
        <v>26</v>
      </c>
      <c r="C125" s="1" t="s">
        <v>166</v>
      </c>
      <c r="D125" s="38" t="s">
        <v>1151</v>
      </c>
      <c r="E125" s="1" t="s">
        <v>26</v>
      </c>
      <c r="F125" s="1" t="s">
        <v>166</v>
      </c>
      <c r="G125" s="1" t="s">
        <v>1152</v>
      </c>
      <c r="H125" s="1" t="n">
        <v>1</v>
      </c>
      <c r="I125" s="1" t="n">
        <v>1</v>
      </c>
      <c r="J125" s="1" t="n">
        <v>0</v>
      </c>
      <c r="O125" s="1" t="s">
        <v>26</v>
      </c>
      <c r="P125" s="1" t="s">
        <v>166</v>
      </c>
    </row>
    <row r="126" customFormat="false" ht="15" hidden="false" customHeight="false" outlineLevel="0" collapsed="false">
      <c r="A126" s="1" t="s">
        <v>439</v>
      </c>
      <c r="B126" s="1" t="s">
        <v>27</v>
      </c>
      <c r="C126" s="1" t="s">
        <v>40</v>
      </c>
      <c r="D126" s="1" t="s">
        <v>1153</v>
      </c>
      <c r="E126" s="1" t="s">
        <v>27</v>
      </c>
      <c r="F126" s="1" t="s">
        <v>40</v>
      </c>
      <c r="G126" s="1" t="s">
        <v>1154</v>
      </c>
      <c r="H126" s="1" t="n">
        <v>1</v>
      </c>
      <c r="I126" s="1" t="n">
        <v>1</v>
      </c>
      <c r="J126" s="1" t="n">
        <v>0</v>
      </c>
      <c r="O126" s="1" t="s">
        <v>27</v>
      </c>
      <c r="P126" s="1" t="s">
        <v>40</v>
      </c>
    </row>
    <row r="127" customFormat="false" ht="15" hidden="false" customHeight="false" outlineLevel="0" collapsed="false">
      <c r="A127" s="1" t="s">
        <v>442</v>
      </c>
      <c r="B127" s="1" t="s">
        <v>26</v>
      </c>
      <c r="C127" s="1" t="s">
        <v>22</v>
      </c>
      <c r="D127" s="38" t="s">
        <v>1155</v>
      </c>
      <c r="E127" s="1" t="s">
        <v>26</v>
      </c>
      <c r="F127" s="1" t="s">
        <v>22</v>
      </c>
      <c r="G127" s="1" t="s">
        <v>1156</v>
      </c>
      <c r="H127" s="1" t="n">
        <v>1</v>
      </c>
      <c r="I127" s="1" t="n">
        <v>1</v>
      </c>
      <c r="J127" s="1" t="n">
        <v>0</v>
      </c>
      <c r="O127" s="1" t="s">
        <v>26</v>
      </c>
      <c r="P127" s="1" t="s">
        <v>22</v>
      </c>
    </row>
    <row r="128" customFormat="false" ht="15" hidden="false" customHeight="false" outlineLevel="0" collapsed="false">
      <c r="A128" s="1" t="s">
        <v>445</v>
      </c>
      <c r="B128" s="1" t="s">
        <v>26</v>
      </c>
      <c r="C128" s="1" t="s">
        <v>29</v>
      </c>
      <c r="D128" s="1" t="s">
        <v>1157</v>
      </c>
      <c r="E128" s="1" t="s">
        <v>26</v>
      </c>
      <c r="F128" s="1" t="s">
        <v>29</v>
      </c>
      <c r="G128" s="1" t="s">
        <v>1158</v>
      </c>
      <c r="H128" s="1" t="n">
        <v>1</v>
      </c>
      <c r="I128" s="1" t="n">
        <v>1</v>
      </c>
      <c r="J128" s="1" t="n">
        <v>0</v>
      </c>
      <c r="O128" s="1" t="s">
        <v>26</v>
      </c>
      <c r="P128" s="1" t="s">
        <v>29</v>
      </c>
    </row>
    <row r="129" customFormat="false" ht="15" hidden="false" customHeight="false" outlineLevel="0" collapsed="false">
      <c r="A129" s="1" t="s">
        <v>449</v>
      </c>
      <c r="B129" s="1" t="s">
        <v>27</v>
      </c>
      <c r="C129" s="1" t="s">
        <v>166</v>
      </c>
      <c r="D129" s="1" t="s">
        <v>1159</v>
      </c>
      <c r="E129" s="1" t="s">
        <v>27</v>
      </c>
      <c r="F129" s="1" t="s">
        <v>166</v>
      </c>
      <c r="G129" s="1" t="s">
        <v>1160</v>
      </c>
      <c r="H129" s="1" t="n">
        <v>1</v>
      </c>
      <c r="I129" s="1" t="n">
        <v>1</v>
      </c>
      <c r="J129" s="1" t="n">
        <v>0</v>
      </c>
      <c r="O129" s="1" t="s">
        <v>27</v>
      </c>
      <c r="P129" s="1" t="s">
        <v>166</v>
      </c>
    </row>
    <row r="130" customFormat="false" ht="15" hidden="false" customHeight="false" outlineLevel="0" collapsed="false">
      <c r="A130" s="1" t="s">
        <v>453</v>
      </c>
      <c r="B130" s="1" t="s">
        <v>27</v>
      </c>
      <c r="C130" s="1" t="s">
        <v>58</v>
      </c>
      <c r="D130" s="38" t="s">
        <v>1161</v>
      </c>
      <c r="E130" s="1" t="s">
        <v>27</v>
      </c>
      <c r="F130" s="1" t="s">
        <v>58</v>
      </c>
      <c r="G130" s="1" t="s">
        <v>1162</v>
      </c>
      <c r="H130" s="1" t="n">
        <v>1</v>
      </c>
      <c r="I130" s="1" t="n">
        <v>1</v>
      </c>
      <c r="J130" s="1" t="n">
        <v>0</v>
      </c>
      <c r="O130" s="1" t="s">
        <v>27</v>
      </c>
      <c r="P130" s="1" t="s">
        <v>58</v>
      </c>
    </row>
    <row r="131" customFormat="false" ht="15" hidden="false" customHeight="false" outlineLevel="0" collapsed="false">
      <c r="A131" s="1" t="s">
        <v>457</v>
      </c>
      <c r="B131" s="1" t="s">
        <v>26</v>
      </c>
      <c r="C131" s="1" t="s">
        <v>239</v>
      </c>
      <c r="D131" s="38" t="s">
        <v>1163</v>
      </c>
      <c r="E131" s="1" t="s">
        <v>26</v>
      </c>
      <c r="F131" s="1" t="s">
        <v>239</v>
      </c>
      <c r="G131" s="1" t="s">
        <v>1164</v>
      </c>
      <c r="H131" s="1" t="n">
        <v>1</v>
      </c>
      <c r="I131" s="1" t="n">
        <v>1</v>
      </c>
      <c r="J131" s="1" t="n">
        <v>0</v>
      </c>
      <c r="O131" s="1" t="s">
        <v>26</v>
      </c>
      <c r="P131" s="1" t="s">
        <v>239</v>
      </c>
    </row>
    <row r="132" customFormat="false" ht="15" hidden="false" customHeight="false" outlineLevel="0" collapsed="false">
      <c r="A132" s="1" t="s">
        <v>460</v>
      </c>
      <c r="B132" s="1" t="s">
        <v>20</v>
      </c>
      <c r="C132" s="1" t="s">
        <v>40</v>
      </c>
      <c r="D132" s="1" t="s">
        <v>1165</v>
      </c>
      <c r="E132" s="1" t="s">
        <v>20</v>
      </c>
      <c r="F132" s="1" t="s">
        <v>40</v>
      </c>
      <c r="G132" s="1" t="s">
        <v>1166</v>
      </c>
      <c r="H132" s="1" t="n">
        <v>1</v>
      </c>
      <c r="I132" s="1" t="n">
        <v>1</v>
      </c>
      <c r="J132" s="1" t="n">
        <v>0</v>
      </c>
      <c r="O132" s="1" t="s">
        <v>20</v>
      </c>
      <c r="P132" s="1" t="s">
        <v>40</v>
      </c>
    </row>
    <row r="133" customFormat="false" ht="15" hidden="false" customHeight="false" outlineLevel="0" collapsed="false">
      <c r="A133" s="1" t="s">
        <v>462</v>
      </c>
      <c r="B133" s="1" t="s">
        <v>20</v>
      </c>
      <c r="C133" s="1" t="s">
        <v>464</v>
      </c>
      <c r="D133" s="1" t="s">
        <v>1167</v>
      </c>
      <c r="E133" s="1" t="s">
        <v>20</v>
      </c>
      <c r="F133" s="1" t="s">
        <v>464</v>
      </c>
      <c r="G133" s="1" t="s">
        <v>1168</v>
      </c>
      <c r="H133" s="1" t="n">
        <v>1</v>
      </c>
      <c r="I133" s="1" t="n">
        <v>1</v>
      </c>
      <c r="J133" s="1" t="n">
        <v>0</v>
      </c>
      <c r="O133" s="1" t="s">
        <v>20</v>
      </c>
      <c r="P133" s="1" t="s">
        <v>464</v>
      </c>
    </row>
    <row r="134" customFormat="false" ht="15" hidden="false" customHeight="false" outlineLevel="0" collapsed="false">
      <c r="A134" s="1" t="s">
        <v>465</v>
      </c>
      <c r="B134" s="1" t="s">
        <v>26</v>
      </c>
      <c r="C134" s="1" t="s">
        <v>468</v>
      </c>
      <c r="D134" s="1" t="s">
        <v>1169</v>
      </c>
      <c r="E134" s="1" t="s">
        <v>26</v>
      </c>
      <c r="F134" s="1" t="s">
        <v>468</v>
      </c>
      <c r="G134" s="1" t="s">
        <v>1170</v>
      </c>
      <c r="H134" s="1" t="n">
        <v>1</v>
      </c>
      <c r="I134" s="1" t="n">
        <v>1</v>
      </c>
      <c r="J134" s="1" t="n">
        <v>0</v>
      </c>
      <c r="O134" s="1" t="s">
        <v>26</v>
      </c>
      <c r="P134" s="1" t="s">
        <v>468</v>
      </c>
    </row>
    <row r="135" customFormat="false" ht="15" hidden="false" customHeight="false" outlineLevel="0" collapsed="false">
      <c r="A135" s="1" t="s">
        <v>469</v>
      </c>
      <c r="B135" s="1" t="s">
        <v>31</v>
      </c>
      <c r="C135" s="1" t="s">
        <v>22</v>
      </c>
      <c r="D135" s="1" t="s">
        <v>1171</v>
      </c>
      <c r="E135" s="1" t="s">
        <v>31</v>
      </c>
      <c r="F135" s="1" t="s">
        <v>78</v>
      </c>
      <c r="G135" s="1" t="s">
        <v>1172</v>
      </c>
      <c r="H135" s="1" t="n">
        <v>1</v>
      </c>
      <c r="I135" s="1" t="n">
        <v>0</v>
      </c>
      <c r="J135" s="1" t="n">
        <v>1</v>
      </c>
      <c r="K135" s="1" t="s">
        <v>31</v>
      </c>
      <c r="L135" s="1" t="s">
        <v>22</v>
      </c>
      <c r="M135" s="1" t="s">
        <v>1173</v>
      </c>
      <c r="N135" s="1" t="s">
        <v>914</v>
      </c>
      <c r="O135" s="1" t="s">
        <v>31</v>
      </c>
      <c r="P135" s="1" t="s">
        <v>22</v>
      </c>
    </row>
    <row r="136" customFormat="false" ht="15" hidden="false" customHeight="false" outlineLevel="0" collapsed="false">
      <c r="A136" s="1" t="s">
        <v>473</v>
      </c>
      <c r="B136" s="1" t="s">
        <v>26</v>
      </c>
      <c r="C136" s="1" t="s">
        <v>476</v>
      </c>
      <c r="D136" s="1" t="s">
        <v>1174</v>
      </c>
      <c r="E136" s="1" t="s">
        <v>26</v>
      </c>
      <c r="F136" s="1" t="s">
        <v>476</v>
      </c>
      <c r="G136" s="1" t="s">
        <v>1175</v>
      </c>
      <c r="H136" s="1" t="n">
        <v>1</v>
      </c>
      <c r="I136" s="1" t="n">
        <v>1</v>
      </c>
      <c r="J136" s="1" t="n">
        <v>0</v>
      </c>
      <c r="O136" s="1" t="s">
        <v>26</v>
      </c>
      <c r="P136" s="1" t="s">
        <v>476</v>
      </c>
    </row>
    <row r="137" customFormat="false" ht="15" hidden="false" customHeight="false" outlineLevel="0" collapsed="false">
      <c r="A137" s="1" t="s">
        <v>478</v>
      </c>
      <c r="B137" s="1" t="s">
        <v>27</v>
      </c>
      <c r="C137" s="1" t="s">
        <v>46</v>
      </c>
      <c r="D137" s="1" t="s">
        <v>1176</v>
      </c>
      <c r="E137" s="1" t="s">
        <v>27</v>
      </c>
      <c r="F137" s="1" t="s">
        <v>46</v>
      </c>
      <c r="G137" s="1" t="s">
        <v>1177</v>
      </c>
      <c r="H137" s="1" t="n">
        <v>1</v>
      </c>
      <c r="I137" s="1" t="n">
        <v>1</v>
      </c>
      <c r="J137" s="1" t="n">
        <v>0</v>
      </c>
      <c r="O137" s="1" t="s">
        <v>27</v>
      </c>
      <c r="P137" s="1" t="s">
        <v>46</v>
      </c>
    </row>
    <row r="138" customFormat="false" ht="15" hidden="false" customHeight="false" outlineLevel="0" collapsed="false">
      <c r="A138" s="1" t="s">
        <v>481</v>
      </c>
      <c r="B138" s="1" t="s">
        <v>27</v>
      </c>
      <c r="C138" s="1" t="s">
        <v>87</v>
      </c>
      <c r="D138" s="1" t="s">
        <v>1178</v>
      </c>
      <c r="E138" s="1" t="s">
        <v>27</v>
      </c>
      <c r="F138" s="1" t="s">
        <v>87</v>
      </c>
      <c r="G138" s="1" t="s">
        <v>1179</v>
      </c>
      <c r="H138" s="1" t="n">
        <v>1</v>
      </c>
      <c r="I138" s="1" t="n">
        <v>1</v>
      </c>
      <c r="J138" s="1" t="n">
        <v>0</v>
      </c>
      <c r="O138" s="1" t="s">
        <v>27</v>
      </c>
      <c r="P138" s="1" t="s">
        <v>87</v>
      </c>
    </row>
    <row r="139" customFormat="false" ht="15" hidden="false" customHeight="false" outlineLevel="0" collapsed="false">
      <c r="A139" s="1" t="s">
        <v>484</v>
      </c>
      <c r="B139" s="1" t="s">
        <v>26</v>
      </c>
      <c r="C139" s="1" t="s">
        <v>46</v>
      </c>
      <c r="D139" s="1" t="s">
        <v>1180</v>
      </c>
      <c r="E139" s="1" t="s">
        <v>26</v>
      </c>
      <c r="F139" s="1" t="s">
        <v>40</v>
      </c>
      <c r="G139" s="1" t="s">
        <v>1181</v>
      </c>
      <c r="H139" s="1" t="n">
        <v>1</v>
      </c>
      <c r="I139" s="1" t="n">
        <v>0</v>
      </c>
      <c r="J139" s="1" t="n">
        <v>1</v>
      </c>
      <c r="K139" s="1" t="s">
        <v>26</v>
      </c>
      <c r="L139" s="1" t="s">
        <v>40</v>
      </c>
      <c r="M139" s="1" t="s">
        <v>1182</v>
      </c>
      <c r="N139" s="1" t="s">
        <v>903</v>
      </c>
      <c r="O139" s="1" t="s">
        <v>26</v>
      </c>
      <c r="P139" s="1" t="s">
        <v>40</v>
      </c>
    </row>
    <row r="140" customFormat="false" ht="15" hidden="false" customHeight="false" outlineLevel="0" collapsed="false">
      <c r="A140" s="1" t="s">
        <v>487</v>
      </c>
      <c r="B140" s="1" t="s">
        <v>26</v>
      </c>
      <c r="C140" s="1" t="s">
        <v>22</v>
      </c>
      <c r="D140" s="38" t="s">
        <v>1183</v>
      </c>
      <c r="E140" s="1" t="s">
        <v>26</v>
      </c>
      <c r="F140" s="1" t="s">
        <v>22</v>
      </c>
      <c r="G140" s="1" t="s">
        <v>1184</v>
      </c>
      <c r="H140" s="1" t="n">
        <v>1</v>
      </c>
      <c r="I140" s="1" t="n">
        <v>1</v>
      </c>
      <c r="J140" s="1" t="n">
        <v>0</v>
      </c>
      <c r="O140" s="1" t="s">
        <v>26</v>
      </c>
      <c r="P140" s="1" t="s">
        <v>22</v>
      </c>
    </row>
    <row r="141" customFormat="false" ht="15" hidden="false" customHeight="false" outlineLevel="0" collapsed="false">
      <c r="A141" s="1" t="s">
        <v>491</v>
      </c>
      <c r="B141" s="1" t="s">
        <v>26</v>
      </c>
      <c r="C141" s="1" t="s">
        <v>46</v>
      </c>
      <c r="D141" s="38" t="s">
        <v>1185</v>
      </c>
      <c r="E141" s="1" t="s">
        <v>26</v>
      </c>
      <c r="F141" s="1" t="s">
        <v>46</v>
      </c>
      <c r="G141" s="1" t="s">
        <v>1186</v>
      </c>
      <c r="H141" s="1" t="n">
        <v>1</v>
      </c>
      <c r="I141" s="1" t="n">
        <v>1</v>
      </c>
      <c r="J141" s="1" t="n">
        <v>0</v>
      </c>
      <c r="O141" s="1" t="s">
        <v>26</v>
      </c>
      <c r="P141" s="1" t="s">
        <v>46</v>
      </c>
    </row>
    <row r="142" customFormat="false" ht="15" hidden="false" customHeight="false" outlineLevel="0" collapsed="false">
      <c r="A142" s="1" t="s">
        <v>494</v>
      </c>
      <c r="B142" s="1" t="s">
        <v>26</v>
      </c>
      <c r="C142" s="1" t="s">
        <v>1187</v>
      </c>
      <c r="D142" s="38" t="s">
        <v>1188</v>
      </c>
      <c r="E142" s="1" t="s">
        <v>26</v>
      </c>
      <c r="F142" s="1" t="s">
        <v>569</v>
      </c>
      <c r="G142" s="1" t="s">
        <v>1189</v>
      </c>
      <c r="H142" s="1" t="n">
        <v>1</v>
      </c>
      <c r="I142" s="1" t="n">
        <v>0</v>
      </c>
      <c r="J142" s="1" t="n">
        <v>1</v>
      </c>
      <c r="K142" s="1" t="s">
        <v>26</v>
      </c>
      <c r="L142" s="1" t="s">
        <v>1187</v>
      </c>
      <c r="M142" s="1" t="s">
        <v>1190</v>
      </c>
      <c r="N142" s="1" t="s">
        <v>914</v>
      </c>
      <c r="O142" s="1" t="s">
        <v>26</v>
      </c>
      <c r="P142" s="1" t="s">
        <v>1187</v>
      </c>
    </row>
    <row r="143" customFormat="false" ht="15" hidden="false" customHeight="false" outlineLevel="0" collapsed="false">
      <c r="A143" s="1" t="s">
        <v>497</v>
      </c>
      <c r="B143" s="1" t="s">
        <v>27</v>
      </c>
      <c r="C143" s="1" t="s">
        <v>29</v>
      </c>
      <c r="D143" s="38" t="s">
        <v>1191</v>
      </c>
      <c r="E143" s="1" t="s">
        <v>27</v>
      </c>
      <c r="F143" s="1" t="s">
        <v>500</v>
      </c>
      <c r="G143" s="1" t="s">
        <v>1192</v>
      </c>
      <c r="H143" s="1" t="n">
        <v>1</v>
      </c>
      <c r="I143" s="1" t="n">
        <v>0</v>
      </c>
      <c r="J143" s="1" t="n">
        <v>1</v>
      </c>
      <c r="K143" s="1" t="s">
        <v>27</v>
      </c>
      <c r="L143" s="1" t="s">
        <v>500</v>
      </c>
      <c r="M143" s="1" t="s">
        <v>1193</v>
      </c>
      <c r="N143" s="1" t="s">
        <v>903</v>
      </c>
      <c r="O143" s="1" t="s">
        <v>27</v>
      </c>
      <c r="P143" s="1" t="s">
        <v>500</v>
      </c>
    </row>
    <row r="144" customFormat="false" ht="15" hidden="false" customHeight="false" outlineLevel="0" collapsed="false">
      <c r="A144" s="1" t="s">
        <v>501</v>
      </c>
      <c r="B144" s="1" t="s">
        <v>26</v>
      </c>
      <c r="C144" s="1" t="s">
        <v>22</v>
      </c>
      <c r="D144" s="38" t="s">
        <v>1194</v>
      </c>
      <c r="E144" s="1" t="s">
        <v>26</v>
      </c>
      <c r="F144" s="1" t="s">
        <v>22</v>
      </c>
      <c r="G144" s="1" t="s">
        <v>1195</v>
      </c>
      <c r="H144" s="1" t="n">
        <v>1</v>
      </c>
      <c r="I144" s="1" t="n">
        <v>1</v>
      </c>
      <c r="J144" s="1" t="n">
        <v>0</v>
      </c>
      <c r="O144" s="1" t="s">
        <v>26</v>
      </c>
      <c r="P144" s="1" t="s">
        <v>22</v>
      </c>
    </row>
    <row r="145" customFormat="false" ht="15" hidden="false" customHeight="false" outlineLevel="0" collapsed="false">
      <c r="A145" s="1" t="s">
        <v>505</v>
      </c>
      <c r="B145" s="1" t="s">
        <v>20</v>
      </c>
      <c r="C145" s="1" t="s">
        <v>22</v>
      </c>
      <c r="D145" s="1" t="s">
        <v>1196</v>
      </c>
      <c r="E145" s="1" t="s">
        <v>20</v>
      </c>
      <c r="F145" s="1" t="s">
        <v>22</v>
      </c>
      <c r="G145" s="1" t="s">
        <v>1197</v>
      </c>
      <c r="H145" s="1" t="n">
        <v>1</v>
      </c>
      <c r="I145" s="1" t="n">
        <v>1</v>
      </c>
      <c r="J145" s="1" t="n">
        <v>0</v>
      </c>
      <c r="O145" s="1" t="s">
        <v>20</v>
      </c>
      <c r="P145" s="1" t="s">
        <v>22</v>
      </c>
    </row>
    <row r="146" customFormat="false" ht="15" hidden="false" customHeight="false" outlineLevel="0" collapsed="false">
      <c r="A146" s="1" t="s">
        <v>508</v>
      </c>
      <c r="B146" s="1" t="s">
        <v>27</v>
      </c>
      <c r="C146" s="1" t="s">
        <v>40</v>
      </c>
      <c r="D146" s="1" t="s">
        <v>1198</v>
      </c>
      <c r="E146" s="1" t="s">
        <v>27</v>
      </c>
      <c r="F146" s="1" t="s">
        <v>40</v>
      </c>
      <c r="G146" s="1" t="s">
        <v>1199</v>
      </c>
      <c r="H146" s="1" t="n">
        <v>1</v>
      </c>
      <c r="I146" s="1" t="n">
        <v>1</v>
      </c>
      <c r="J146" s="1" t="n">
        <v>0</v>
      </c>
      <c r="O146" s="1" t="s">
        <v>27</v>
      </c>
      <c r="P146" s="1" t="s">
        <v>40</v>
      </c>
    </row>
    <row r="148" customFormat="false" ht="15" hidden="false" customHeight="false" outlineLevel="0" collapsed="false">
      <c r="A148" s="37" t="s">
        <v>1200</v>
      </c>
      <c r="B148" s="1"/>
    </row>
    <row r="149" customFormat="false" ht="15" hidden="false" customHeight="false" outlineLevel="0" collapsed="false">
      <c r="A149" s="39" t="s">
        <v>1201</v>
      </c>
      <c r="B149" s="1" t="n">
        <v>141</v>
      </c>
    </row>
    <row r="150" customFormat="false" ht="15" hidden="false" customHeight="false" outlineLevel="0" collapsed="false">
      <c r="A150" s="39" t="s">
        <v>1202</v>
      </c>
      <c r="B150" s="1" t="n">
        <v>0.9929</v>
      </c>
    </row>
    <row r="151" customFormat="false" ht="15" hidden="false" customHeight="false" outlineLevel="0" collapsed="false">
      <c r="A151" s="39" t="s">
        <v>1203</v>
      </c>
      <c r="B151" s="1" t="n">
        <v>0.9892</v>
      </c>
    </row>
    <row r="152" customFormat="false" ht="15" hidden="false" customHeight="false" outlineLevel="0" collapsed="false">
      <c r="A152" s="39" t="s">
        <v>1204</v>
      </c>
      <c r="B152" s="1" t="n">
        <v>0.8511</v>
      </c>
    </row>
    <row r="153" customFormat="false" ht="15" hidden="false" customHeight="false" outlineLevel="0" collapsed="false">
      <c r="A153" s="39" t="s">
        <v>1205</v>
      </c>
      <c r="B153" s="1" t="n">
        <v>0.8319</v>
      </c>
    </row>
    <row r="154" customFormat="false" ht="15" hidden="false" customHeight="false" outlineLevel="0" collapsed="false">
      <c r="A154" s="39" t="s">
        <v>1206</v>
      </c>
      <c r="B154" s="1" t="n">
        <v>22</v>
      </c>
    </row>
    <row r="155" customFormat="false" ht="15" hidden="false" customHeight="false" outlineLevel="0" collapsed="false">
      <c r="A155" s="39" t="s">
        <v>514</v>
      </c>
      <c r="B155" s="1" t="s">
        <v>515</v>
      </c>
    </row>
    <row r="156" customFormat="false" ht="15" hidden="false" customHeight="false" outlineLevel="0" collapsed="false">
      <c r="A156" s="39" t="s">
        <v>517</v>
      </c>
      <c r="B156" s="1" t="s">
        <v>518</v>
      </c>
    </row>
    <row r="157" customFormat="false" ht="15" hidden="false" customHeight="false" outlineLevel="0" collapsed="false">
      <c r="A157" s="39" t="s">
        <v>520</v>
      </c>
      <c r="B157" s="1" t="s">
        <v>521</v>
      </c>
    </row>
    <row r="158" customFormat="false" ht="15" hidden="false" customHeight="false" outlineLevel="0" collapsed="false">
      <c r="A158" s="39" t="s">
        <v>1207</v>
      </c>
      <c r="B158" s="1" t="s">
        <v>1208</v>
      </c>
    </row>
    <row r="159" customFormat="false" ht="15" hidden="false" customHeight="false" outlineLevel="0" collapsed="false">
      <c r="A159" s="39" t="s">
        <v>1209</v>
      </c>
      <c r="B159" s="1" t="s">
        <v>1210</v>
      </c>
    </row>
    <row r="160" customFormat="false" ht="15" hidden="false" customHeight="false" outlineLevel="0" collapsed="false">
      <c r="A160" s="39" t="s">
        <v>1211</v>
      </c>
      <c r="B160" s="1" t="s">
        <v>1212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2026-09-04T17:28:42Z</dcterms:created>
  <dc:creator>openpyxl</dc:creator>
  <dc:description/>
  <dc:language>en-US</dc:language>
  <cp:lastModifiedBy>Rabie Abdultawab Ramadan</cp:lastModifiedBy>
  <dcterms:modified xsi:type="dcterms:W3CDTF">2026-09-04T19:59:19Z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